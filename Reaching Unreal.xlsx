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filterPrivacy="1"/>
  <xr:revisionPtr revIDLastSave="392" documentId="13_ncr:1_{A76CEC77-43B0-4FBB-8CD0-17AEA57FD68B}" xr6:coauthVersionLast="47" xr6:coauthVersionMax="47" xr10:uidLastSave="{D844F077-390D-42E6-BA32-7D84E059F682}"/>
  <bookViews>
    <workbookView xWindow="-120" yWindow="-120" windowWidth="29040" windowHeight="15720" tabRatio="1000" firstSheet="12" activeTab="12" xr2:uid="{00000000-000D-0000-FFFF-FFFF00000000}"/>
  </bookViews>
  <sheets>
    <sheet name="Week 1" sheetId="1" r:id="rId1"/>
    <sheet name="Week 2" sheetId="2" r:id="rId2"/>
    <sheet name="Week 3" sheetId="3" r:id="rId3"/>
    <sheet name="Week 4" sheetId="4" r:id="rId4"/>
    <sheet name="Week 5" sheetId="5" r:id="rId5"/>
    <sheet name="Week 6" sheetId="6" r:id="rId6"/>
    <sheet name="Week 7" sheetId="7" r:id="rId7"/>
    <sheet name="Week 8" sheetId="8" r:id="rId8"/>
    <sheet name="Week 9" sheetId="9" r:id="rId9"/>
    <sheet name="Week 10" sheetId="10" r:id="rId10"/>
    <sheet name="Week 11" sheetId="11" r:id="rId11"/>
    <sheet name="Week 12" sheetId="12" r:id="rId12"/>
    <sheet name="week 13" sheetId="15" r:id="rId13"/>
    <sheet name="Sheet Criteria" sheetId="14" r:id="rId14"/>
    <sheet name="Total Progress" sheetId="13" r:id="rId15"/>
  </sheets>
  <externalReferences>
    <externalReference r:id="rId1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 i="15" l="1"/>
  <c r="T11" i="15"/>
  <c r="S11" i="15"/>
  <c r="R11" i="15"/>
  <c r="AB10" i="15" a="1"/>
  <c r="AB10" i="15" s="1"/>
  <c r="AB9" i="15" a="1"/>
  <c r="AB9" i="15" s="1"/>
  <c r="AB8" i="15" a="1"/>
  <c r="AB8" i="15" s="1"/>
  <c r="AB7" i="15" a="1"/>
  <c r="AB7" i="15" s="1"/>
  <c r="AB6" i="15" a="1"/>
  <c r="AB6" i="15" s="1"/>
  <c r="AB5" i="15" a="1"/>
  <c r="AB5" i="15" s="1"/>
  <c r="AB4" i="15" a="1"/>
  <c r="AB4" i="15" s="1"/>
  <c r="AB11" i="15" s="1"/>
  <c r="M8" i="12" a="1"/>
  <c r="M8" i="12"/>
  <c r="M10" i="12" a="1"/>
  <c r="M10" i="12"/>
  <c r="M4" i="12" a="1"/>
  <c r="M4" i="12"/>
  <c r="M5" i="12" a="1"/>
  <c r="M5" i="12"/>
  <c r="M6" i="12" a="1"/>
  <c r="M6" i="12"/>
  <c r="M7" i="12" a="1"/>
  <c r="M7" i="12"/>
  <c r="M9" i="12" a="1"/>
  <c r="M9" i="12"/>
  <c r="Y11" i="12"/>
  <c r="W11" i="12"/>
  <c r="T11" i="12"/>
  <c r="S11" i="12"/>
  <c r="R11" i="12"/>
  <c r="AB10" i="12" a="1"/>
  <c r="AB10" i="12" s="1"/>
  <c r="AB9" i="12" a="1"/>
  <c r="AB9" i="12" s="1"/>
  <c r="AB8" i="12" a="1"/>
  <c r="AB8" i="12" s="1"/>
  <c r="AB7" i="12" a="1"/>
  <c r="AB7" i="12" s="1"/>
  <c r="AB6" i="12" a="1"/>
  <c r="AB6" i="12" s="1"/>
  <c r="AB5" i="12" a="1"/>
  <c r="AB5" i="12" s="1"/>
  <c r="AB4" i="12" a="1"/>
  <c r="AB4" i="12" s="1"/>
  <c r="AB11" i="12" s="1"/>
  <c r="L11" i="12"/>
  <c r="K11" i="12"/>
  <c r="J11" i="12"/>
  <c r="I11" i="12"/>
  <c r="H11" i="12"/>
  <c r="G11" i="12"/>
  <c r="F11" i="12"/>
  <c r="E11" i="12"/>
  <c r="D11" i="12"/>
  <c r="C11" i="12"/>
  <c r="B11" i="12"/>
  <c r="M11" i="12"/>
  <c r="AD11" i="11"/>
  <c r="AB11" i="11"/>
  <c r="AA11" i="11"/>
  <c r="Y11" i="11"/>
  <c r="X11" i="11"/>
  <c r="W11" i="11"/>
  <c r="AG10" i="11" a="1"/>
  <c r="AG10" i="11" s="1"/>
  <c r="AG9" i="11" a="1"/>
  <c r="AG9" i="11" s="1"/>
  <c r="AG8" i="11" a="1"/>
  <c r="AG8" i="11" s="1"/>
  <c r="AG7" i="11" a="1"/>
  <c r="AG7" i="11" s="1"/>
  <c r="AG6" i="11" a="1"/>
  <c r="AG6" i="11" s="1"/>
  <c r="AG5" i="11" a="1"/>
  <c r="AG5" i="11" s="1"/>
  <c r="AG4" i="11" a="1"/>
  <c r="AG4" i="11" s="1"/>
  <c r="AG11" i="11" s="1"/>
  <c r="O11" i="11"/>
  <c r="N11" i="11"/>
  <c r="M11" i="11"/>
  <c r="L11" i="11"/>
  <c r="K11" i="11"/>
  <c r="J11" i="11"/>
  <c r="I11" i="11"/>
  <c r="H11" i="11"/>
  <c r="G11" i="11"/>
  <c r="F11" i="11"/>
  <c r="E11" i="11"/>
  <c r="D11" i="11"/>
  <c r="C11" i="11"/>
  <c r="B11" i="11"/>
  <c r="P10" i="11" a="1"/>
  <c r="P10" i="11" s="1"/>
  <c r="P9" i="11" a="1"/>
  <c r="P9" i="11" s="1"/>
  <c r="P8" i="11" a="1"/>
  <c r="P8" i="11" s="1"/>
  <c r="P7" i="11" a="1"/>
  <c r="P7" i="11" s="1"/>
  <c r="P6" i="11" a="1"/>
  <c r="P6" i="11" s="1"/>
  <c r="P5" i="11" a="1"/>
  <c r="P5" i="11" s="1"/>
  <c r="P4" i="11" a="1"/>
  <c r="P4" i="11" s="1"/>
  <c r="D11" i="10"/>
  <c r="P4" i="10" a="1"/>
  <c r="P4" i="10" s="1"/>
  <c r="P5" i="10" a="1"/>
  <c r="P5" i="10" s="1"/>
  <c r="P6" i="10" a="1"/>
  <c r="P6" i="10" s="1"/>
  <c r="P7" i="10" a="1"/>
  <c r="P7" i="10" s="1"/>
  <c r="P8" i="10" a="1"/>
  <c r="P8" i="10" s="1"/>
  <c r="P9" i="10" a="1"/>
  <c r="P9" i="10" s="1"/>
  <c r="P10" i="10" a="1"/>
  <c r="P10" i="10" s="1"/>
  <c r="H11" i="10"/>
  <c r="AE11" i="10"/>
  <c r="AC11" i="10"/>
  <c r="AB11" i="10"/>
  <c r="Z11" i="10"/>
  <c r="Y11" i="10"/>
  <c r="X11" i="10"/>
  <c r="AH10" i="10" a="1"/>
  <c r="AH10" i="10" s="1"/>
  <c r="AH9" i="10" a="1"/>
  <c r="AH9" i="10" s="1"/>
  <c r="AH8" i="10" a="1"/>
  <c r="AH8" i="10" s="1"/>
  <c r="AH7" i="10" a="1"/>
  <c r="AH7" i="10" s="1"/>
  <c r="AH6" i="10" a="1"/>
  <c r="AH6" i="10" s="1"/>
  <c r="AH5" i="10" a="1"/>
  <c r="AH5" i="10" s="1"/>
  <c r="AH4" i="10" a="1"/>
  <c r="AH4" i="10" s="1"/>
  <c r="O11" i="10"/>
  <c r="N11" i="10"/>
  <c r="M11" i="10"/>
  <c r="L11" i="10"/>
  <c r="K11" i="10"/>
  <c r="J11" i="10"/>
  <c r="I11" i="10"/>
  <c r="G11" i="10"/>
  <c r="F11" i="10"/>
  <c r="E11" i="10"/>
  <c r="C11" i="10"/>
  <c r="B11" i="10"/>
  <c r="AG10" i="9" a="1"/>
  <c r="AG10" i="9"/>
  <c r="AD11" i="9"/>
  <c r="AB11" i="9"/>
  <c r="AA11" i="9"/>
  <c r="Y11" i="9"/>
  <c r="X11" i="9"/>
  <c r="W11" i="9"/>
  <c r="AG9" i="9" a="1"/>
  <c r="AG9" i="9" s="1"/>
  <c r="AG8" i="9" a="1"/>
  <c r="AG8" i="9" s="1"/>
  <c r="AG7" i="9" a="1"/>
  <c r="AG7" i="9" s="1"/>
  <c r="AG6" i="9" a="1"/>
  <c r="AG6" i="9" s="1"/>
  <c r="AG5" i="9" a="1"/>
  <c r="AG5" i="9" s="1"/>
  <c r="AG4" i="9" a="1"/>
  <c r="AG4" i="9" s="1"/>
  <c r="AG11" i="9" s="1"/>
  <c r="K11" i="8"/>
  <c r="J11" i="8"/>
  <c r="I11" i="8"/>
  <c r="H11" i="8"/>
  <c r="G11" i="8"/>
  <c r="F11" i="8"/>
  <c r="E11" i="8"/>
  <c r="D11" i="8"/>
  <c r="C11" i="8"/>
  <c r="B11" i="8"/>
  <c r="L10" i="8"/>
  <c r="L9" i="8"/>
  <c r="L8" i="8"/>
  <c r="L7" i="8"/>
  <c r="L6" i="8"/>
  <c r="L5" i="8"/>
  <c r="L4" i="8"/>
  <c r="N11" i="9"/>
  <c r="M11" i="9"/>
  <c r="L11" i="9"/>
  <c r="K11" i="9"/>
  <c r="J11" i="9"/>
  <c r="I11" i="9"/>
  <c r="H11" i="9"/>
  <c r="G11" i="9"/>
  <c r="F11" i="9"/>
  <c r="E11" i="9"/>
  <c r="D11" i="9"/>
  <c r="C11" i="9"/>
  <c r="B11" i="9"/>
  <c r="O10" i="9" a="1"/>
  <c r="O10" i="9" s="1"/>
  <c r="O9" i="9" a="1"/>
  <c r="O9" i="9" s="1"/>
  <c r="O8" i="9" a="1"/>
  <c r="O8" i="9" s="1"/>
  <c r="O7" i="9" a="1"/>
  <c r="O7" i="9" s="1"/>
  <c r="O6" i="9" a="1"/>
  <c r="O6" i="9" s="1"/>
  <c r="O5" i="9" a="1"/>
  <c r="O5" i="9" s="1"/>
  <c r="O4" i="9" a="1"/>
  <c r="O4" i="9" s="1"/>
  <c r="P11" i="11" l="1"/>
  <c r="AH11" i="10"/>
  <c r="P11" i="10"/>
  <c r="L11" i="8"/>
  <c r="O11" i="9"/>
  <c r="AB6" i="8" l="1" a="1"/>
  <c r="AB6" i="8" s="1"/>
  <c r="AB7" i="8" a="1"/>
  <c r="AB7" i="8" s="1"/>
  <c r="AB8" i="8" a="1"/>
  <c r="AB8" i="8" s="1"/>
  <c r="AB9" i="8" a="1"/>
  <c r="AB9" i="8" s="1"/>
  <c r="AB10" i="8" a="1"/>
  <c r="AB10" i="8" s="1"/>
  <c r="AB11" i="8" a="1"/>
  <c r="AB11" i="8" s="1"/>
  <c r="AB5" i="8" a="1"/>
  <c r="AB5" i="8" s="1"/>
  <c r="Y12" i="8"/>
  <c r="W12" i="8"/>
  <c r="V12" i="8"/>
  <c r="U12" i="8"/>
  <c r="T12" i="8"/>
  <c r="S12" i="8"/>
  <c r="R12" i="8"/>
  <c r="M4" i="7"/>
  <c r="M5" i="7"/>
  <c r="M6" i="7"/>
  <c r="M7" i="7"/>
  <c r="M8" i="7"/>
  <c r="M9" i="7"/>
  <c r="M10" i="7"/>
  <c r="Z10" i="7" a="1"/>
  <c r="Z10" i="7" s="1"/>
  <c r="J11" i="7"/>
  <c r="C11" i="7"/>
  <c r="E11" i="7"/>
  <c r="L11" i="7"/>
  <c r="K11" i="7"/>
  <c r="I11" i="7"/>
  <c r="H11" i="7"/>
  <c r="G11" i="7"/>
  <c r="F11" i="7"/>
  <c r="D11" i="7"/>
  <c r="B11" i="7"/>
  <c r="Z4" i="7" a="1"/>
  <c r="Z4" i="7" s="1"/>
  <c r="Y11" i="7"/>
  <c r="X11" i="7"/>
  <c r="W11" i="7"/>
  <c r="V11" i="7"/>
  <c r="U11" i="7"/>
  <c r="T11" i="7"/>
  <c r="S11" i="7"/>
  <c r="R11" i="7"/>
  <c r="Q11" i="7"/>
  <c r="Z9" i="7" a="1"/>
  <c r="Z9" i="7" s="1"/>
  <c r="Z8" i="7" a="1"/>
  <c r="Z8" i="7" s="1"/>
  <c r="Z7" i="7" a="1"/>
  <c r="Z7" i="7" s="1"/>
  <c r="Z6" i="7" a="1"/>
  <c r="Z6" i="7" s="1"/>
  <c r="Z5" i="7" a="1"/>
  <c r="Z5" i="7" s="1"/>
  <c r="N4" i="6" a="1"/>
  <c r="N4" i="6" s="1"/>
  <c r="M11" i="6"/>
  <c r="L11" i="6"/>
  <c r="K11" i="6"/>
  <c r="J11" i="6"/>
  <c r="I11" i="6"/>
  <c r="H11" i="6"/>
  <c r="G11" i="6"/>
  <c r="F11" i="6"/>
  <c r="E11" i="6"/>
  <c r="D11" i="6"/>
  <c r="C11" i="6"/>
  <c r="B11" i="6"/>
  <c r="N10" i="6" a="1"/>
  <c r="N10" i="6" s="1"/>
  <c r="N9" i="6" a="1"/>
  <c r="N9" i="6" s="1"/>
  <c r="N8" i="6" a="1"/>
  <c r="N8" i="6" s="1"/>
  <c r="N7" i="6" a="1"/>
  <c r="N7" i="6" s="1"/>
  <c r="N6" i="6" a="1"/>
  <c r="N6" i="6" s="1"/>
  <c r="N5" i="6" a="1"/>
  <c r="N5" i="6" s="1"/>
  <c r="Y11" i="6"/>
  <c r="Z11" i="6"/>
  <c r="T11" i="6"/>
  <c r="U11" i="6"/>
  <c r="V11" i="6"/>
  <c r="W11" i="6"/>
  <c r="R12" i="5"/>
  <c r="S12" i="5"/>
  <c r="AA4" i="6" a="1"/>
  <c r="AA4" i="6" s="1"/>
  <c r="AA11" i="6" s="1"/>
  <c r="X11" i="6"/>
  <c r="S11" i="6"/>
  <c r="R11" i="6"/>
  <c r="Q11" i="6"/>
  <c r="AA10" i="6" a="1"/>
  <c r="AA10" i="6" s="1"/>
  <c r="AA9" i="6" a="1"/>
  <c r="AA9" i="6" s="1"/>
  <c r="AA8" i="6" a="1"/>
  <c r="AA8" i="6" s="1"/>
  <c r="AA7" i="6" a="1"/>
  <c r="AA7" i="6" s="1"/>
  <c r="AA6" i="6" a="1"/>
  <c r="AA6" i="6" s="1"/>
  <c r="AA5" i="6" a="1"/>
  <c r="AA5" i="6" s="1"/>
  <c r="AA9" i="5" a="1"/>
  <c r="AA9" i="5" s="1"/>
  <c r="N6" i="5" a="1"/>
  <c r="N6" i="5" s="1"/>
  <c r="N11" i="5" a="1"/>
  <c r="N11" i="5" s="1"/>
  <c r="N10" i="5" a="1"/>
  <c r="N10" i="5" s="1"/>
  <c r="N9" i="5" a="1"/>
  <c r="N9" i="5" s="1"/>
  <c r="N8" i="5" a="1"/>
  <c r="N8" i="5" s="1"/>
  <c r="N7" i="5" a="1"/>
  <c r="N7" i="5" s="1"/>
  <c r="N5" i="5" a="1"/>
  <c r="N5" i="5" s="1"/>
  <c r="AA6" i="5" a="1"/>
  <c r="AA6" i="5" s="1"/>
  <c r="AA5" i="5" a="1"/>
  <c r="AA5" i="5" s="1"/>
  <c r="AA10" i="5" a="1"/>
  <c r="AA10" i="5" s="1"/>
  <c r="AA11" i="5" a="1"/>
  <c r="AA11" i="5" s="1"/>
  <c r="AA8" i="5" a="1"/>
  <c r="AA8" i="5" s="1"/>
  <c r="AA7" i="5" a="1"/>
  <c r="AA7" i="5" s="1"/>
  <c r="Q12" i="5"/>
  <c r="X12" i="5"/>
  <c r="M12" i="5"/>
  <c r="L12" i="5"/>
  <c r="K12" i="5"/>
  <c r="J12" i="5"/>
  <c r="I12" i="5"/>
  <c r="H12" i="5"/>
  <c r="G12" i="5"/>
  <c r="F12" i="5"/>
  <c r="E12" i="5"/>
  <c r="D12" i="5"/>
  <c r="C12" i="5"/>
  <c r="B12" i="5"/>
  <c r="Y10" i="4" a="1"/>
  <c r="Y10" i="4" s="1"/>
  <c r="Y9" i="4" a="1"/>
  <c r="Y9" i="4" s="1"/>
  <c r="Y8" i="4" a="1"/>
  <c r="Y8" i="4" s="1"/>
  <c r="Y7" i="4" a="1"/>
  <c r="Y7" i="4" s="1"/>
  <c r="Y6" i="4" a="1"/>
  <c r="Y6" i="4" s="1"/>
  <c r="Y4" i="4" a="1"/>
  <c r="Y4" i="4" s="1"/>
  <c r="N4" i="4" a="1"/>
  <c r="N4" i="4" s="1"/>
  <c r="N5" i="4" a="1"/>
  <c r="N5" i="4" s="1"/>
  <c r="N6" i="4" a="1"/>
  <c r="N6" i="4" s="1"/>
  <c r="N7" i="4" a="1"/>
  <c r="N7" i="4" s="1"/>
  <c r="N8" i="4" a="1"/>
  <c r="N8" i="4" s="1"/>
  <c r="N9" i="4" a="1"/>
  <c r="N9" i="4" s="1"/>
  <c r="N10" i="4" a="1"/>
  <c r="N10" i="4" s="1"/>
  <c r="H11" i="4"/>
  <c r="M11" i="4"/>
  <c r="L11" i="4"/>
  <c r="K11" i="4"/>
  <c r="J11" i="4"/>
  <c r="I11" i="4"/>
  <c r="G11" i="4"/>
  <c r="F11" i="4"/>
  <c r="E11" i="4"/>
  <c r="D11" i="4"/>
  <c r="C11" i="4"/>
  <c r="B11" i="4"/>
  <c r="V11" i="4"/>
  <c r="S11" i="4"/>
  <c r="R11" i="4"/>
  <c r="Q11" i="4"/>
  <c r="M4" i="3" a="1"/>
  <c r="M4" i="3" s="1"/>
  <c r="M5" i="3" a="1"/>
  <c r="M5" i="3" s="1"/>
  <c r="M6" i="3" a="1"/>
  <c r="M6" i="3" s="1"/>
  <c r="M7" i="3" a="1"/>
  <c r="M7" i="3" s="1"/>
  <c r="M8" i="3" a="1"/>
  <c r="M8" i="3" s="1"/>
  <c r="M9" i="3" a="1"/>
  <c r="M9" i="3" s="1"/>
  <c r="M10" i="3" a="1"/>
  <c r="M10" i="3" s="1"/>
  <c r="G11" i="3"/>
  <c r="F11" i="3"/>
  <c r="L11" i="3"/>
  <c r="K11" i="3"/>
  <c r="J11" i="3"/>
  <c r="I11" i="3"/>
  <c r="H11" i="3"/>
  <c r="E11" i="3"/>
  <c r="D11" i="3"/>
  <c r="C11" i="3"/>
  <c r="B11" i="3"/>
  <c r="AB4" i="3" a="1"/>
  <c r="AB4" i="3" s="1"/>
  <c r="AB5" i="3" a="1"/>
  <c r="AB5" i="3" s="1"/>
  <c r="AB6" i="3" a="1"/>
  <c r="AB6" i="3" s="1"/>
  <c r="AB7" i="3" a="1"/>
  <c r="AB7" i="3" s="1"/>
  <c r="AB8" i="3" a="1"/>
  <c r="AB8" i="3" s="1"/>
  <c r="AB9" i="3" a="1"/>
  <c r="AB9" i="3" s="1"/>
  <c r="AB10" i="3" a="1"/>
  <c r="AB10" i="3" s="1"/>
  <c r="U11" i="3"/>
  <c r="V11" i="3"/>
  <c r="W11" i="3"/>
  <c r="Z11" i="3"/>
  <c r="AA11" i="3"/>
  <c r="M4" i="2" a="1"/>
  <c r="M4" i="2" s="1"/>
  <c r="W10" i="2" a="1"/>
  <c r="W10" i="2" s="1"/>
  <c r="W9" i="2" a="1"/>
  <c r="W9" i="2" s="1"/>
  <c r="W8" i="2" a="1"/>
  <c r="W8" i="2" s="1"/>
  <c r="W7" i="2" a="1"/>
  <c r="W7" i="2" s="1"/>
  <c r="W4" i="2" a="1"/>
  <c r="W4" i="2" s="1"/>
  <c r="W5" i="2" a="1"/>
  <c r="W5" i="2" s="1"/>
  <c r="W6" i="2" a="1"/>
  <c r="W6" i="2" s="1"/>
  <c r="L11" i="2"/>
  <c r="K11" i="2"/>
  <c r="J11" i="2"/>
  <c r="I11" i="2"/>
  <c r="H11" i="2"/>
  <c r="G11" i="2"/>
  <c r="F11" i="2"/>
  <c r="E11" i="2"/>
  <c r="D11" i="2"/>
  <c r="C11" i="2"/>
  <c r="B11" i="2"/>
  <c r="M10" i="2" a="1"/>
  <c r="M10" i="2" s="1"/>
  <c r="M9" i="2" a="1"/>
  <c r="M9" i="2" s="1"/>
  <c r="M8" i="2" a="1"/>
  <c r="M8" i="2" s="1"/>
  <c r="M7" i="2" a="1"/>
  <c r="M7" i="2" s="1"/>
  <c r="M6" i="2" a="1"/>
  <c r="M6" i="2" s="1"/>
  <c r="M5" i="2" a="1"/>
  <c r="M5" i="2" s="1"/>
  <c r="AB12" i="8" l="1"/>
  <c r="M11" i="7"/>
  <c r="Z11" i="7"/>
  <c r="N11" i="6"/>
  <c r="AA12" i="5"/>
  <c r="Y11" i="4"/>
  <c r="N12" i="5"/>
  <c r="N11" i="4"/>
  <c r="M11" i="3"/>
  <c r="AB11" i="3"/>
  <c r="M11" i="2"/>
  <c r="V15" i="2" l="1" a="1"/>
  <c r="V15" i="2"/>
  <c r="J10" i="1" a="1"/>
  <c r="J10" i="1" s="1"/>
  <c r="V20" i="2" l="1" a="1"/>
  <c r="V20" i="2" s="1"/>
  <c r="V19" i="2" a="1"/>
  <c r="V19" i="2" s="1"/>
  <c r="V18" i="2" a="1"/>
  <c r="V18" i="2" s="1"/>
  <c r="V16" i="2" a="1"/>
  <c r="V16" i="2" s="1"/>
  <c r="V21" i="2" a="1"/>
  <c r="V21" i="2" s="1"/>
  <c r="V17" i="2" a="1"/>
  <c r="V17" i="2" s="1"/>
  <c r="U22" i="2"/>
  <c r="T22" i="2"/>
  <c r="S22" i="2"/>
  <c r="R22" i="2"/>
  <c r="Q22" i="2"/>
  <c r="AC4" i="1" a="1"/>
  <c r="AC4" i="1" s="1"/>
  <c r="J4" i="1" a="1"/>
  <c r="J4" i="1" s="1"/>
  <c r="J5" i="1" a="1"/>
  <c r="J5" i="1" s="1"/>
  <c r="J6" i="1" a="1"/>
  <c r="J6" i="1" s="1"/>
  <c r="J7" i="1" a="1"/>
  <c r="J7" i="1" s="1"/>
  <c r="J8" i="1" a="1"/>
  <c r="J8" i="1" s="1"/>
  <c r="J9" i="1" a="1"/>
  <c r="J9" i="1" s="1"/>
  <c r="F11" i="1"/>
  <c r="V11" i="2"/>
  <c r="U11" i="2"/>
  <c r="T11" i="2"/>
  <c r="S11" i="2"/>
  <c r="R11" i="2"/>
  <c r="Q11" i="2"/>
  <c r="P11" i="2"/>
  <c r="V11" i="1"/>
  <c r="W11" i="1"/>
  <c r="Y11" i="1"/>
  <c r="Z11" i="1"/>
  <c r="AA11" i="1"/>
  <c r="AB11" i="1"/>
  <c r="X11" i="1"/>
  <c r="AC5" i="1" a="1"/>
  <c r="AC5" i="1" s="1"/>
  <c r="AC6" i="1" a="1"/>
  <c r="AC6" i="1" s="1"/>
  <c r="AC7" i="1" a="1"/>
  <c r="AC7" i="1" s="1"/>
  <c r="AC8" i="1" a="1"/>
  <c r="AC8" i="1" s="1"/>
  <c r="AC9" i="1" a="1"/>
  <c r="AC9" i="1" s="1"/>
  <c r="AC10" i="1" a="1"/>
  <c r="AC10" i="1" s="1"/>
  <c r="C11" i="1"/>
  <c r="D11" i="1"/>
  <c r="E11" i="1"/>
  <c r="G11" i="1"/>
  <c r="H11" i="1"/>
  <c r="I11" i="1"/>
  <c r="B11" i="1"/>
  <c r="W11" i="2" l="1"/>
  <c r="V22" i="2"/>
  <c r="AC11" i="1"/>
  <c r="D2" i="13"/>
  <c r="J11" i="1"/>
  <c r="E2" i="13"/>
  <c r="C2" i="13"/>
  <c r="B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<sst xmlns="http://schemas.openxmlformats.org/spreadsheetml/2006/main" count="599" uniqueCount="113">
  <si>
    <t>El Shazly</t>
  </si>
  <si>
    <t>El Sayed</t>
  </si>
  <si>
    <t>Day\Project</t>
  </si>
  <si>
    <t>CS224n Project</t>
  </si>
  <si>
    <t>CS234 project</t>
  </si>
  <si>
    <t>Research Apps</t>
  </si>
  <si>
    <t>Studying</t>
  </si>
  <si>
    <t>Recording</t>
  </si>
  <si>
    <t>gym</t>
  </si>
  <si>
    <t>Squash</t>
  </si>
  <si>
    <t>P</t>
  </si>
  <si>
    <t>Results</t>
  </si>
  <si>
    <t>Endo</t>
  </si>
  <si>
    <t>Rebro</t>
  </si>
  <si>
    <t>RBS</t>
  </si>
  <si>
    <t>Research</t>
  </si>
  <si>
    <t>Gym</t>
  </si>
  <si>
    <t>diet</t>
  </si>
  <si>
    <t>Saturday</t>
  </si>
  <si>
    <t>Sunday</t>
  </si>
  <si>
    <t>Monday</t>
  </si>
  <si>
    <t>Tuesday</t>
  </si>
  <si>
    <t>Wednesday</t>
  </si>
  <si>
    <t>Thursday</t>
  </si>
  <si>
    <t>Friday</t>
  </si>
  <si>
    <t>Total</t>
  </si>
  <si>
    <t>Week Goal</t>
  </si>
  <si>
    <t>CS224n Project &amp;
Assignments</t>
  </si>
  <si>
    <t>Math 104</t>
  </si>
  <si>
    <t>Treehacks</t>
  </si>
  <si>
    <t xml:space="preserve">gym </t>
  </si>
  <si>
    <t>Wake up at 10:30
sleep at 2</t>
  </si>
  <si>
    <t>Repro</t>
  </si>
  <si>
    <t xml:space="preserve">Work </t>
  </si>
  <si>
    <t>Catch up on 224n, work with team on 224n project
Apply to REU roles other than curis
Cold reachout to startups for internships
Work with yousef on 234 (20 hr goal)</t>
  </si>
  <si>
    <t>Teeth brushing</t>
  </si>
  <si>
    <t>My Prays</t>
  </si>
  <si>
    <t>My Family</t>
  </si>
  <si>
    <t>Hydration &amp; Supp</t>
  </si>
  <si>
    <t>Good Sleep</t>
  </si>
  <si>
    <t>CS234 projects</t>
  </si>
  <si>
    <t>CS224n studying &amp;
past assignments</t>
  </si>
  <si>
    <t>CS234 Studying &amp;
past assignments</t>
  </si>
  <si>
    <t>Math 104 Studying &amp;
past assignments</t>
  </si>
  <si>
    <t>Summer Apps</t>
  </si>
  <si>
    <t>Waddy y5oyaaa</t>
  </si>
  <si>
    <t>Week Goals</t>
  </si>
  <si>
    <t xml:space="preserve">Achieved:
Work on 224n Project (19.2/10) 
Still needed:
Study CS224n (6/15 lecs, 9 lecs + 2 assignments) (High-Priority) -&gt; (25 hours, 15 hours lectures, 5 hours each assignment)
Study Math 104 (4 lecture notes + 6 homeworks) (High-Priority) -&gt; (15 hours, an hour per lecture and 1.5 per homework)
Study CS234 for quiz (6/13 lecs, 7 lecs + 2 assignments) (lower priority) -&gt; (20 hours, 11 hours lecs, 4.5 hours per assignment)
</t>
  </si>
  <si>
    <t>Leetcode design
Leetcode algorithm</t>
  </si>
  <si>
    <t>Work &amp; Reading</t>
  </si>
  <si>
    <t>Gym &amp; Diet</t>
  </si>
  <si>
    <t xml:space="preserve"> Early &amp; cold shower</t>
  </si>
  <si>
    <t>Quit Scrollling</t>
  </si>
  <si>
    <t>Needed:
Leetcode solving (15 hours, LC design/LC algorithm)
Summer Apps (12 hours)
- Resume remake + include web project + pass ATS + format well + Github polish (include 224n, 234 repos)
- Cold reachout to start-ups from the recent fair (Done)
- Apply to recent openings from linkedin (daily, 30-50 mins a day), Highly refine for important and relavent ones (done)
Math104 study (7 hours, 3 lecs + 3 homeworks, 21 problems in homeworks to refresh content)
CS224n Project (5 hours, Study codebase + train on larger tasks / datasets)
CS234 project (5 hours, keep up with yousef)</t>
  </si>
  <si>
    <t>بب</t>
  </si>
  <si>
    <t>Negida Academy</t>
  </si>
  <si>
    <t>Cut &amp; Hydration</t>
  </si>
  <si>
    <t>8 cont sleep hours</t>
  </si>
  <si>
    <t>Week Goals
03/07/2026 
03/14/2026</t>
  </si>
  <si>
    <t xml:space="preserve">Needed:
Math104 study (10 hours, hw 2-7, lec 14 ) -&gt; NotebookLM in shower + 2 hrs daily right after 
Neetcode solving (10 hours, finish neetcode 30, only mediums/hards) -&gt; 2 hours daily on weekdays (End of day)
Summer Apps (10 hours) -&gt; 4 hours on sunday
- Find the Labcast Repo, Understand Codebase, build intuition and make a plan for the project -&gt; 4 hours on sunday
- Meet Jack for LabCast on monday (discuss working again, summer, spring break, and access to repo)
- Daily Apply to good LinkedIn Jobs (30-50 ev other day)
- Cold reachout to start-ups (30-50 mins ev other day)
CS224n Project (10 hours, scale text classification task, finalize and study for poster session) -&gt; 4 hours over the weekend
</t>
  </si>
  <si>
    <t xml:space="preserve">Needed:
Attending RBS Cont Exam
-&gt; Completing RBS Course content till lecture 8 
&gt;&gt;&gt;Daily follow up on Negida Academy (30:90 mins)&lt;&lt;&lt;
15 lecture of Repro module 
Maintaining the cut (2000~2200cal, 100~160 gP)
Maintenance of a daily proper hydration (3~4.5L)
</t>
  </si>
  <si>
    <t>Column1</t>
  </si>
  <si>
    <t>45 min Cardio</t>
  </si>
  <si>
    <t>Week Goals
03/14/2026 
03/20/2026</t>
  </si>
  <si>
    <t xml:space="preserve">Needed:
Everyday wake 10:30 (consistent)
Math104 (35 hours, hw 4-9, lec 6-20, practice midterm + actual, 3x practice final) 
- everyday notebookLLM 1hr + immediate green study sesh (3 hrs solving hw / practice)
- before sleeping, study new materials
CS224n Project (10 hours, finish report, poster) -&gt; 5 hours weekend, 5 hours Monday (Done)
CS234 Project (low priority, finish report) (Done, kosom da course)
</t>
  </si>
  <si>
    <t xml:space="preserve">Needed:
ENDO Course :
-Histo , 3 lectures
-Anatomy, 3 lectures 
-physiology, 7 lectures 
- pathology, 2 lectures  
-biochemistry, 1
RBS Course:
Lecture 7&amp;8
Total 5 hours on Negida Academy
Finish Medtronic app
Maintaining the cut (2000~2200cal, 100~160 gP)
Maintenance of a daily proper hydration (3~4.5L)
45 min of Cardio/daily
</t>
  </si>
  <si>
    <t>LabCast</t>
  </si>
  <si>
    <t>LabCast Studying</t>
  </si>
  <si>
    <t>Math Problem Solving</t>
  </si>
  <si>
    <t>Screentime &lt; 2 hrs</t>
  </si>
  <si>
    <t>quit scrolling</t>
  </si>
  <si>
    <t xml:space="preserve">Needed:
Wednesday-Friday, Recover Sleep (2:30, 10:30) Consistently
Shower + Sunglight + Coffee on wake-up
Labcast Ramp up (15 hrs) 
 - Learn the codebase
 - Write the features for spring break
 - determine and study courses for things you don't understand (Databases, hosting, Cloud, UI/UX integration etc)
Math Problem Solving (5 hrs)
- Find a math algebra problem set (Art of problem solving)
- Grind / refine roadmap till it fits as a side practice during spring break 
</t>
  </si>
  <si>
    <t>Lectures</t>
  </si>
  <si>
    <t xml:space="preserve">Recharging </t>
  </si>
  <si>
    <t>CNS</t>
  </si>
  <si>
    <t>ENR</t>
  </si>
  <si>
    <t>RT</t>
  </si>
  <si>
    <t>Needed:</t>
  </si>
  <si>
    <t>Recharging Log:
- Sunday -&gt; Had Planned dinner with Joshua after the gym. Had an interesting economics conversation about banks and the 2008 fin-crisis, then went and played 3 rounds of ping pong in my dorm.
- Wednseday -&gt; attended the improv class.
- Friday -&gt; Walked to palo alto with joshua, got boba and talked about economics and polotics. Then went to axe and palm and grabbed a drink, had a cool walk back to our dorms.</t>
  </si>
  <si>
    <t>HairFlow Research</t>
  </si>
  <si>
    <t>CS131</t>
  </si>
  <si>
    <t>History 1C</t>
  </si>
  <si>
    <t>PWR2</t>
  </si>
  <si>
    <t>Needed:
- FIX SLEEP (Every day 2:30 to 10:30)
- Create a Roadmap for Labcast material studying
- Start studying courses for Labcast
- Do progress on Hairflow and send a follow-up email 
- Code up one or two extra features for Labcast, Give Jack an update.</t>
  </si>
  <si>
    <t xml:space="preserve"> </t>
  </si>
  <si>
    <t xml:space="preserve">Recharging Log:
-Saturday -&gt; Played Squash with sharaf, had dinner after and hung out and played ping pong in my dorm while listening to music and talking deep discussions
</t>
  </si>
  <si>
    <t>Neccessities Log:</t>
  </si>
  <si>
    <t>Admin Tasks (indiv)</t>
  </si>
  <si>
    <t>Screentime &lt; 2 hr
(excl whats, discord)</t>
  </si>
  <si>
    <t>Recharging &amp; 
Socializing</t>
  </si>
  <si>
    <r>
      <t xml:space="preserve">Needed:
</t>
    </r>
    <r>
      <rPr>
        <b/>
        <sz val="11"/>
        <color theme="1"/>
        <rFont val="Calibri"/>
        <family val="2"/>
        <scheme val="minor"/>
      </rPr>
      <t>Health:</t>
    </r>
    <r>
      <rPr>
        <sz val="11"/>
        <color theme="1"/>
        <rFont val="Calibri"/>
        <family val="2"/>
        <scheme val="minor"/>
      </rPr>
      <t xml:space="preserve">
- FIX SLEEP (Every day 2:30 to 10:30)
- No scrolling -&gt; &lt; 2 hrs total excl whatsapp/discord calls (every day starting monday)
</t>
    </r>
    <r>
      <rPr>
        <b/>
        <sz val="11"/>
        <color theme="1"/>
        <rFont val="Calibri"/>
        <family val="2"/>
        <scheme val="minor"/>
      </rPr>
      <t>Admin:</t>
    </r>
    <r>
      <rPr>
        <sz val="11"/>
        <color theme="1"/>
        <rFont val="Calibri"/>
        <family val="2"/>
        <scheme val="minor"/>
      </rPr>
      <t xml:space="preserve">
- Taxes, FIN-AID App, and housing for Summer and Fall
- Find a roommate for fall (usman, dontrell)
- Bike replacement 
- Purchase laptop/IPAD, book tickets, email for absences exceptions
</t>
    </r>
    <r>
      <rPr>
        <b/>
        <sz val="11"/>
        <color theme="1"/>
        <rFont val="Calibri"/>
        <family val="2"/>
        <scheme val="minor"/>
      </rPr>
      <t>Work:</t>
    </r>
    <r>
      <rPr>
        <sz val="11"/>
        <color theme="1"/>
        <rFont val="Calibri"/>
        <family val="2"/>
        <scheme val="minor"/>
      </rPr>
      <t xml:space="preserve">
- Finish Hair flow volume task and email Sarah (5 hrs)
- Work and study Labcast (15 hrs)
- Do History1C readings and attend all lectures (5 hrs)
- Work on PWR presentation, attend classes and turn assignments on time (3 hrs)
Low Priority:
- GPT assignments for 131 (before wednseday)</t>
    </r>
  </si>
  <si>
    <t xml:space="preserve">Recharging Log:
-Saturday -&gt; Played Squash with joshua and went out to eat in palo alto (mediterannean resturant food) with two other friends (Kevin (josh's roommate), and peter
</t>
  </si>
  <si>
    <r>
      <rPr>
        <sz val="11"/>
        <color rgb="FF000000"/>
        <rFont val="Calibri"/>
        <scheme val="minor"/>
      </rPr>
      <t xml:space="preserve">Needed:
</t>
    </r>
    <r>
      <rPr>
        <b/>
        <sz val="11"/>
        <color rgb="FF000000"/>
        <rFont val="Calibri"/>
        <scheme val="minor"/>
      </rPr>
      <t xml:space="preserve">Health:
</t>
    </r>
    <r>
      <rPr>
        <sz val="11"/>
        <color rgb="FF000000"/>
        <rFont val="Calibri"/>
        <scheme val="minor"/>
      </rPr>
      <t xml:space="preserve">- FIX SLEEP (Every day 2:30 to 10:30)
- &lt; 2 hrs total excl whatsapp/discord calls (every day starting monday)
</t>
    </r>
    <r>
      <rPr>
        <b/>
        <sz val="11"/>
        <color rgb="FF000000"/>
        <rFont val="Calibri"/>
        <scheme val="minor"/>
      </rPr>
      <t xml:space="preserve">Admin:
</t>
    </r>
    <r>
      <rPr>
        <sz val="11"/>
        <color rgb="FF000000"/>
        <rFont val="Calibri"/>
        <scheme val="minor"/>
      </rPr>
      <t xml:space="preserve">- Taxes, FIN-AID App
</t>
    </r>
    <r>
      <rPr>
        <b/>
        <sz val="11"/>
        <color rgb="FF000000"/>
        <rFont val="Calibri"/>
        <scheme val="minor"/>
      </rPr>
      <t xml:space="preserve">Work:
</t>
    </r>
    <r>
      <rPr>
        <sz val="11"/>
        <color rgb="FF000000"/>
        <rFont val="Calibri"/>
        <scheme val="minor"/>
      </rPr>
      <t>- Finish Hair flow volume task and email Sarah (5 hrs)
- Work and study Labcast (15 hrs)
- Do History1C readings and attend all lectures (5 hrs)
- Work on PWR presentation, attend classes and turn assignments on time (3 hrs)
Low Priority:
- GPT assignments for 131 (before wednseday)</t>
    </r>
  </si>
  <si>
    <t>Recharging Log:
Saturday: Played soccer with friends (omar, met yousef, learned to backflip on the trampoline)
Sunday: Hit A great pull day with aly, talked about logic and religion, Played Squash with renzo, nick and aly.
Monday: Went to class with Joshua, went to tressidor after to finish his bank thing and grabbed a snack and coffee after, talked abt funding and the world bank
Wednseday: Played Squash with Hassan, Aly, and Rahma. Played ping pong with aly after and resumed our dicusssion about religion, conciousness, and logic. Talked about our admission process and puzzle solving experience.</t>
  </si>
  <si>
    <t xml:space="preserve">1 for each lecture attended 
+ HRS for every hour spent doing one of these </t>
  </si>
  <si>
    <t>Labcast</t>
  </si>
  <si>
    <t xml:space="preserve">Leetcode </t>
  </si>
  <si>
    <t xml:space="preserve">HairFlow </t>
  </si>
  <si>
    <t>Classes 
(PWR, 131, D45)</t>
  </si>
  <si>
    <t>Reading H1C</t>
  </si>
  <si>
    <t>1 hr Cardio</t>
  </si>
  <si>
    <r>
      <rPr>
        <sz val="11"/>
        <color rgb="FF000000"/>
        <rFont val="Calibri"/>
        <scheme val="minor"/>
      </rPr>
      <t xml:space="preserve">Needed:
</t>
    </r>
    <r>
      <rPr>
        <b/>
        <sz val="11"/>
        <color rgb="FF000000"/>
        <rFont val="Calibri"/>
        <scheme val="minor"/>
      </rPr>
      <t xml:space="preserve">Health:
</t>
    </r>
    <r>
      <rPr>
        <sz val="11"/>
        <color rgb="FF000000"/>
        <rFont val="Calibri"/>
        <scheme val="minor"/>
      </rPr>
      <t xml:space="preserve">- Wake up 10:30 everyday
</t>
    </r>
    <r>
      <rPr>
        <b/>
        <sz val="11"/>
        <color rgb="FF000000"/>
        <rFont val="Calibri"/>
        <scheme val="minor"/>
      </rPr>
      <t xml:space="preserve">Admin:
</t>
    </r>
    <r>
      <rPr>
        <sz val="11"/>
        <color rgb="FF000000"/>
        <rFont val="Calibri"/>
        <scheme val="minor"/>
      </rPr>
      <t xml:space="preserve">- Taxes, FIN-AID App
- Trip Prep
</t>
    </r>
    <r>
      <rPr>
        <b/>
        <sz val="11"/>
        <color rgb="FF000000"/>
        <rFont val="Calibri"/>
        <scheme val="minor"/>
      </rPr>
      <t xml:space="preserve">Work:
</t>
    </r>
    <r>
      <rPr>
        <sz val="11"/>
        <color rgb="FF000000"/>
        <rFont val="Calibri"/>
        <scheme val="minor"/>
      </rPr>
      <t xml:space="preserve">- Labcast (10 hours)
  -&gt; Tiers 0 (JS&amp;TS Basics, HTTPS, REST)
- Hairflow kickstart (5 hours)
Low Priority:
- GPT assignments for 131 (before wednseday)
- PWR </t>
    </r>
  </si>
  <si>
    <t xml:space="preserve">Needed:
Health:
- Follow the cut plan 
-1hr Cardio
Admin:
- Research guide
- Trip Prep
Work:
Other:
-Pray 5 times a day
- azkar </t>
  </si>
  <si>
    <t xml:space="preserve">Recharging Log:
</t>
  </si>
  <si>
    <t>30 min Cardio</t>
  </si>
  <si>
    <t>Field</t>
  </si>
  <si>
    <t>School Studying (Hrs)</t>
  </si>
  <si>
    <t>ACT Training (Hrs)</t>
  </si>
  <si>
    <t>College Admissions (Hrs)</t>
  </si>
  <si>
    <t>Problem Solving (Hrs)</t>
  </si>
  <si>
    <t>Total Progress</t>
  </si>
  <si>
    <t>Goal</t>
  </si>
  <si>
    <t>Finished 60% !!, cool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</si>
</sst>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000401]0"/>
    <numFmt numFmtId="165" formatCode="[$-2000401]0.#"/>
    <numFmt numFmtId="166" formatCode="[$-2000401]0.##"/>
  </numFmts>
  <fonts count="6">
    <font>
      <sz val="11"/>
      <color theme="1"/>
      <name val="Calibri"/>
      <family val="2"/>
      <scheme val="minor"/>
    </font>
    <font>
      <sz val="11"/>
      <color rgb="FF006100"/>
      <name val="Calibri"/>
      <family val="2"/>
      <scheme val="minor"/>
    </font>
    <font>
      <b/>
      <sz val="11"/>
      <color theme="1"/>
      <name val="Calibri"/>
      <family val="2"/>
      <scheme val="minor"/>
    </font>
    <font>
      <sz val="8"/>
      <name val="Calibri"/>
      <family val="2"/>
      <scheme val="minor"/>
    </font>
    <font>
      <sz val="11"/>
      <color rgb="FF000000"/>
      <name val="Calibri"/>
      <scheme val="minor"/>
    </font>
    <font>
      <b/>
      <sz val="11"/>
      <color rgb="FF000000"/>
      <name val="Calibri"/>
      <scheme val="minor"/>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C6EFCE"/>
      </patternFill>
    </fill>
  </fills>
  <borders count="3">
    <border>
      <left/>
      <right/>
      <top/>
      <bottom/>
      <diagonal/>
    </border>
    <border>
      <left style="thin">
        <color theme="6"/>
      </left>
      <right style="thin">
        <color theme="6"/>
      </right>
      <top style="thin">
        <color theme="6"/>
      </top>
      <bottom style="medium">
        <color theme="6"/>
      </bottom>
      <diagonal/>
    </border>
    <border>
      <left style="thin">
        <color theme="6"/>
      </left>
      <right style="thin">
        <color theme="6"/>
      </right>
      <top style="thin">
        <color theme="6"/>
      </top>
      <bottom style="thin">
        <color theme="6"/>
      </bottom>
      <diagonal/>
    </border>
  </borders>
  <cellStyleXfs count="2">
    <xf numFmtId="0" fontId="0" fillId="0" borderId="0"/>
    <xf numFmtId="0" fontId="1" fillId="5" borderId="0" applyNumberFormat="0" applyBorder="0" applyAlignment="0" applyProtection="0"/>
  </cellStyleXfs>
  <cellXfs count="26">
    <xf numFmtId="0" fontId="0" fillId="0" borderId="0" xfId="0"/>
    <xf numFmtId="0" fontId="0" fillId="4" borderId="0" xfId="0"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2" fillId="4" borderId="1" xfId="0" applyFont="1" applyFill="1" applyBorder="1" applyAlignment="1">
      <alignment horizontal="center" vertical="center"/>
    </xf>
    <xf numFmtId="0" fontId="0" fillId="2" borderId="2" xfId="0" applyFill="1" applyBorder="1" applyAlignment="1">
      <alignment horizontal="center" vertical="center"/>
    </xf>
    <xf numFmtId="0" fontId="1" fillId="5" borderId="2" xfId="1" applyBorder="1" applyAlignment="1">
      <alignment horizontal="center" vertical="center"/>
    </xf>
    <xf numFmtId="0" fontId="0" fillId="0" borderId="0" xfId="0" applyAlignment="1">
      <alignment wrapText="1"/>
    </xf>
    <xf numFmtId="16" fontId="0" fillId="0" borderId="0" xfId="0" applyNumberFormat="1"/>
    <xf numFmtId="0" fontId="2" fillId="2" borderId="0" xfId="0" applyFont="1" applyFill="1" applyAlignment="1">
      <alignment horizontal="center" vertical="center"/>
    </xf>
    <xf numFmtId="0" fontId="0" fillId="4" borderId="0" xfId="0" applyFill="1" applyAlignment="1">
      <alignment horizontal="center" vertical="center" wrapText="1"/>
    </xf>
    <xf numFmtId="164" fontId="0" fillId="2" borderId="0" xfId="0" applyNumberFormat="1" applyFill="1" applyAlignment="1">
      <alignment horizontal="center" vertical="center"/>
    </xf>
    <xf numFmtId="0" fontId="0" fillId="0" borderId="0" xfId="0" applyAlignment="1">
      <alignment vertical="center"/>
    </xf>
    <xf numFmtId="165" fontId="0" fillId="2" borderId="0" xfId="0" applyNumberFormat="1" applyFill="1" applyAlignment="1">
      <alignment horizontal="center" vertical="center"/>
    </xf>
    <xf numFmtId="0" fontId="0" fillId="0" borderId="0" xfId="0" applyAlignment="1">
      <alignment vertical="center" wrapText="1"/>
    </xf>
    <xf numFmtId="0" fontId="0" fillId="0" borderId="0" xfId="0" applyAlignment="1">
      <alignment horizontal="left"/>
    </xf>
    <xf numFmtId="166" fontId="0" fillId="2" borderId="0" xfId="0" applyNumberFormat="1"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top" wrapText="1"/>
    </xf>
  </cellXfs>
  <cellStyles count="2">
    <cellStyle name="Good" xfId="1" builtinId="26"/>
    <cellStyle name="Normal" xfId="0" builtinId="0"/>
  </cellStyles>
  <dxfs count="361">
    <dxf>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alignment horizontal="center" vertical="bottom"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dxf>
  </dxfs>
  <tableStyles count="0" defaultTableStyle="TableStyleMedium2" defaultPivotStyle="PivotStyleLight16"/>
  <colors>
    <mruColors>
      <color rgb="FF99CC00"/>
      <color rgb="FFCCFF99"/>
      <color rgb="FF89BF65"/>
      <color rgb="FF63C189"/>
      <color rgb="FF539B4F"/>
      <color rgb="FF76B54B"/>
      <color rgb="FF17BF2B"/>
      <color rgb="FF76BEEA"/>
      <color rgb="FFABF97F"/>
      <color rgb="FFEEF5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osef\AppData\Local\Microsoft\Excel\TemporaryBackupFile\4.7.2026%203.05.45%20AM%20-%20Reaching%20Unreal.xlsx" TargetMode="External"/><Relationship Id="rId1" Type="http://schemas.openxmlformats.org/officeDocument/2006/relationships/externalLinkPath" Target="file:///C:\Users\yosef\AppData\Local\Microsoft\Excel\TemporaryBackupFile\4.7.2026%203.05.45%20AM%20-%20Reaching%20Unre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ek 1"/>
      <sheetName val="Week 2"/>
      <sheetName val="Week 3"/>
      <sheetName val="Week 4"/>
      <sheetName val="Week 5"/>
      <sheetName val="Week 6"/>
      <sheetName val="Week 7"/>
      <sheetName val="Week 8"/>
      <sheetName val="Week 9"/>
      <sheetName val="Week 10"/>
      <sheetName val="Week 11"/>
      <sheetName val="Week 12"/>
      <sheetName val="Sheet Criteria"/>
      <sheetName val="Total Progress"/>
      <sheetName val="4.7.2026 3.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3:J11" totalsRowShown="0" headerRowDxfId="360" dataDxfId="359">
  <autoFilter ref="A3:J11" xr:uid="{00000000-0009-0000-0100-000002000000}"/>
  <tableColumns count="10">
    <tableColumn id="1" xr3:uid="{00000000-0010-0000-0000-000001000000}" name="Day\Project" dataDxfId="358"/>
    <tableColumn id="6" xr3:uid="{A8CC8670-206C-4304-8824-CFB25E5C7601}" name="CS224n Project" dataDxfId="357"/>
    <tableColumn id="4" xr3:uid="{10138CF3-348B-4539-84DE-C3C23689041D}" name="CS234 project" dataDxfId="356"/>
    <tableColumn id="10" xr3:uid="{4287A43D-F262-4DC0-852C-D3B84B7382AE}" name="Research Apps" dataDxfId="355"/>
    <tableColumn id="9" xr3:uid="{E6F4AFB5-250A-4E1E-BBA5-7AE150E44C08}" name="Studying" dataDxfId="354"/>
    <tableColumn id="2" xr3:uid="{417B4034-1AF1-4268-88BC-6346DF602BB8}" name="Recording" dataDxfId="353"/>
    <tableColumn id="3" xr3:uid="{17BCE5EE-27A0-4E98-B94A-20E1A9B517AE}" name="gym" dataDxfId="352"/>
    <tableColumn id="11" xr3:uid="{A348F4C4-6612-4EB7-B1EF-5CCD98EF5E96}" name="Squash" dataDxfId="351"/>
    <tableColumn id="8" xr3:uid="{08F97605-83B6-495E-A8A4-CD51C4BEEF2C}" name="P" dataDxfId="350"/>
    <tableColumn id="5" xr3:uid="{00000000-0010-0000-0000-000005000000}" name="Results" dataDxfId="349">
      <calculatedColumnFormula array="1">SUM(Table2[[#This Row],[CS224n Project]:[Research Apps]]*10, Table2[[#This Row],[Studying]]*15, Table2[[#This Row],[Squash]]*15, Table2[[#This Row],[P]]*10, Table2[[#This Row],[gym]]*15)</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E07D05-ED56-453F-878E-1290A0691B04}" name="Table26" displayName="Table26" ref="U3:AC11" totalsRowShown="0" headerRowDxfId="348" dataDxfId="347">
  <autoFilter ref="U3:AC11" xr:uid="{B3E07D05-ED56-453F-878E-1290A0691B04}"/>
  <tableColumns count="9">
    <tableColumn id="1" xr3:uid="{5802DF31-9409-4D6E-B27A-30DDF2EE4476}" name="Day\Project" dataDxfId="346"/>
    <tableColumn id="10" xr3:uid="{E32757F4-92B1-488B-AE88-4C19A995453E}" name="Endo" dataDxfId="345"/>
    <tableColumn id="9" xr3:uid="{2C727071-9B0A-4552-8816-C9FFFD1B8E74}" name="Rebro" dataDxfId="344"/>
    <tableColumn id="6" xr3:uid="{C1AFAF38-F7E5-4D18-A9A0-AF564B83A4F5}" name="RBS" dataDxfId="343"/>
    <tableColumn id="4" xr3:uid="{83A56565-6BBA-4FCB-803B-553D6556C242}" name="Research" dataDxfId="342"/>
    <tableColumn id="3" xr3:uid="{47AF5328-6E15-40BB-B422-DCFBE57871D0}" name="Gym" dataDxfId="341"/>
    <tableColumn id="2" xr3:uid="{DA056ABB-EA23-410A-A7BB-7941EEF75329}" name="diet" dataDxfId="340"/>
    <tableColumn id="8" xr3:uid="{BE605F01-F2A2-49F4-B133-63706512C932}" name="P" dataDxfId="339"/>
    <tableColumn id="5" xr3:uid="{50FE350E-5E90-4245-8E2E-EE661A22FE69}" name="Results" dataDxfId="338">
      <calculatedColumnFormula array="1">SUM(Table26[[#This Row],[Endo]:[RBS]]*15, Table26[[#This Row],[Research]]*10,Table26[[#This Row],[Gym]]*15,Table26[[#This Row],[diet]]*15, Table26[[#This Row],[P]]*10)</calculatedColumnFormula>
    </tableColumn>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03FC386-6864-4867-A519-9673E28F68E2}" name="Table2613" displayName="Table2613" ref="O3:W11" totalsRowShown="0" headerRowDxfId="337" dataDxfId="336">
  <autoFilter ref="O3:W11" xr:uid="{A03FC386-6864-4867-A519-9673E28F68E2}"/>
  <tableColumns count="9">
    <tableColumn id="1" xr3:uid="{A77B74EA-9DF5-4CDA-AC65-048DA25AE2EC}" name="Day\Project" dataDxfId="335"/>
    <tableColumn id="10" xr3:uid="{FE89CB53-B655-476C-BD3C-37713B430F67}" name="Endo" dataDxfId="334"/>
    <tableColumn id="9" xr3:uid="{937261CD-85A6-4068-ACDB-BD392715B535}" name="Repro" dataDxfId="333"/>
    <tableColumn id="6" xr3:uid="{0D59CC83-15B1-4961-81D8-46F4D3802430}" name="RBS" dataDxfId="332"/>
    <tableColumn id="4" xr3:uid="{DDF97269-AFA1-446F-B66B-C065764D1CD8}" name="Work " dataDxfId="331"/>
    <tableColumn id="3" xr3:uid="{6DBB4027-0972-42F5-BD6D-EC31B4F9A863}" name="Gym" dataDxfId="330"/>
    <tableColumn id="2" xr3:uid="{38BA0BB1-3771-4477-B361-D6C449FC63C9}" name="diet" dataDxfId="329"/>
    <tableColumn id="8" xr3:uid="{FC37693A-6EA6-4C46-8921-BB865A150E56}" name="P" dataDxfId="328"/>
    <tableColumn id="5" xr3:uid="{47781FBF-3165-4033-8C63-20B87D6EB6F2}" name="Results" dataDxfId="327"/>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AC7B71-91C8-4321-A5BE-2DE2F15F4561}" name="Table261315" displayName="Table261315" ref="P14:V22" totalsRowShown="0" headerRowDxfId="326" dataDxfId="325">
  <autoFilter ref="P14:V22" xr:uid="{C8AC7B71-91C8-4321-A5BE-2DE2F15F4561}"/>
  <tableColumns count="7">
    <tableColumn id="1" xr3:uid="{C930CCE1-7555-4FCD-ABDC-4B9285BBE224}" name="Day\Project" dataDxfId="324"/>
    <tableColumn id="10" xr3:uid="{30D3A3D8-3D4B-4270-B6E6-F98D9E8E57E1}" name="Teeth brushing" dataDxfId="323"/>
    <tableColumn id="9" xr3:uid="{88CBD54B-0EA5-4F70-A594-3248FBBC733E}" name="My Prays" dataDxfId="322"/>
    <tableColumn id="6" xr3:uid="{D9B3D537-6D80-4164-B957-265BA6EE7CD1}" name="My Family" dataDxfId="321"/>
    <tableColumn id="4" xr3:uid="{C662EBA2-6E8E-4C1F-95F1-0702BCD29544}" name="Hydration &amp; Supp" dataDxfId="320"/>
    <tableColumn id="3" xr3:uid="{D8DFE6D1-41CF-496B-A269-728D680B66BC}" name="Good Sleep" dataDxfId="319"/>
    <tableColumn id="5" xr3:uid="{9C4D1F20-4513-4CF7-9B4E-784B491221CB}" name="Results" dataDxfId="318"/>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58CA285-CE65-4CD7-B4F0-ADF50C2C9E00}" name="Table21414" displayName="Table21414" ref="A3:M11" totalsRowShown="0" headerRowDxfId="317" dataDxfId="316">
  <autoFilter ref="A3:M11" xr:uid="{758CA285-CE65-4CD7-B4F0-ADF50C2C9E00}"/>
  <tableColumns count="13">
    <tableColumn id="1" xr3:uid="{5EA34077-2603-4E67-B657-B4D7966F2729}" name="Day\Project" dataDxfId="315"/>
    <tableColumn id="6" xr3:uid="{ECD9EE57-19AD-4D53-8284-D6617ECB3350}" name="CS224n Project &amp;_x000a_Assignments" dataDxfId="314"/>
    <tableColumn id="13" xr3:uid="{0A873DC3-7930-4301-9DF9-976A8038F407}" name="Math 104" dataDxfId="313"/>
    <tableColumn id="4" xr3:uid="{7A260D80-A2CC-4BB6-B636-B44D740DD187}" name="CS234 project" dataDxfId="312"/>
    <tableColumn id="7" xr3:uid="{96466DDF-8161-4A51-BF7F-C3AA7CDB128D}" name="Treehacks" dataDxfId="311"/>
    <tableColumn id="10" xr3:uid="{71A5E13F-2F7E-47C5-B98A-72D9011F84A0}" name="Research Apps" dataDxfId="310"/>
    <tableColumn id="9" xr3:uid="{D7F413F6-209D-4DED-BDEC-161A78B76EF5}" name="Studying" dataDxfId="309"/>
    <tableColumn id="2" xr3:uid="{31E4EA18-A551-4402-B9D7-93E47C61036F}" name="Recording" dataDxfId="308"/>
    <tableColumn id="3" xr3:uid="{20A4CBED-A8BE-4DC6-829E-79584F24E012}" name="gym " dataDxfId="307"/>
    <tableColumn id="12" xr3:uid="{54E3A848-CFA6-40EC-8A0F-3ADF9EDCD91B}" name="Squash" dataDxfId="306"/>
    <tableColumn id="11" xr3:uid="{29DDF528-183B-44F7-A70D-FD1BB144361F}" name="Wake up at 10:30_x000a_sleep at 2" dataDxfId="305"/>
    <tableColumn id="8" xr3:uid="{0247E4C3-6D2F-4F44-974E-B1E5C433A4F3}" name="P" dataDxfId="304"/>
    <tableColumn id="5" xr3:uid="{4E7A7FB1-8436-45B5-B470-C4E138A8851F}" name="Results" dataDxfId="303">
      <calculatedColumnFormula array="1">SUM(Table21414[[#This Row],[CS224n Project &amp;
Assignments]:[Research Apps]]*10, Table21414[[#This Row],[Studying]]*15, Table21414[[#This Row],[Wake up at 10:30
sleep at 2]]*15, Table21414[[#This Row],[P]]*10, Table21414[[#This Row],[gym ]]*15)</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708C3E-0BF5-439F-AA74-993237D4FA74}" name="Table261312" displayName="Table261312" ref="T3:AB11" totalsRowShown="0" headerRowDxfId="302" dataDxfId="301">
  <autoFilter ref="T3:AB11" xr:uid="{95708C3E-0BF5-439F-AA74-993237D4FA74}"/>
  <tableColumns count="9">
    <tableColumn id="1" xr3:uid="{0C6E6750-373A-480E-BA1A-6B53FB4C835D}" name="Day\Project" dataDxfId="300"/>
    <tableColumn id="10" xr3:uid="{AEE12C49-5CA3-46A7-B1F8-CFA5B50F2BE8}" name="Endo" dataDxfId="299"/>
    <tableColumn id="9" xr3:uid="{8A348893-217C-4655-A346-7175D1A4C5DB}" name="Repro" dataDxfId="298"/>
    <tableColumn id="6" xr3:uid="{4EAAA0B6-4051-47EE-8EF4-64AF3AAC90A7}" name="RBS" dataDxfId="297"/>
    <tableColumn id="4" xr3:uid="{0F84AFC2-6F94-4A14-A203-6FCEFA1CD98B}" name="Work " dataDxfId="296"/>
    <tableColumn id="3" xr3:uid="{4CDB6F88-8B59-4663-AB73-825F76B4E19B}" name="Gym" dataDxfId="295"/>
    <tableColumn id="2" xr3:uid="{EC51C5AD-32A6-42DF-9FD5-DAE2C61F9D8C}" name="diet" dataDxfId="294"/>
    <tableColumn id="8" xr3:uid="{A38DCF6B-1C00-4342-BE99-9155FDBE3275}" name="P" dataDxfId="293"/>
    <tableColumn id="5" xr3:uid="{E0A2E20F-2E0E-43C1-868B-EA3B9EF368A9}" name="Results" dataDxfId="292"/>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A8E3037-F1B9-4968-884D-727D3A67904F}" name="Table2141418" displayName="Table2141418" ref="A3:M11" totalsRowShown="0" headerRowDxfId="291" dataDxfId="290">
  <autoFilter ref="A3:M11" xr:uid="{5A8E3037-F1B9-4968-884D-727D3A67904F}"/>
  <tableColumns count="13">
    <tableColumn id="1" xr3:uid="{5B59A82F-DBEC-44A5-B17A-2738183F38B4}" name="Day\Project" dataDxfId="289"/>
    <tableColumn id="6" xr3:uid="{C77506FB-C71B-464C-8555-618DE90DF472}" name="CS224n Project" dataDxfId="288"/>
    <tableColumn id="4" xr3:uid="{9EBA966C-12A6-4DA9-AF1C-F8467964BD26}" name="CS234 projects" dataDxfId="287"/>
    <tableColumn id="10" xr3:uid="{D5FFE70B-1437-43E0-ABFD-3B46579AD5B8}" name="CS224n studying &amp;_x000a_past assignments" dataDxfId="286"/>
    <tableColumn id="9" xr3:uid="{7F3E4E93-1215-4BCD-A60D-0D41FE453BD1}" name="CS234 Studying &amp;_x000a_past assignments" dataDxfId="285"/>
    <tableColumn id="7" xr3:uid="{309956DC-DBD3-44C9-9804-54A34B4A7348}" name="Math 104 Studying &amp;_x000a_past assignments" dataDxfId="284"/>
    <tableColumn id="13" xr3:uid="{F977308F-8D1A-42E8-81E6-9CFE7B24D35E}" name="Summer Apps" dataDxfId="283"/>
    <tableColumn id="2" xr3:uid="{5E36071F-FC31-454C-9EBC-45BD18D8BBFE}" name="Recording" dataDxfId="282"/>
    <tableColumn id="3" xr3:uid="{46E27C39-C4A4-4444-BBD7-91971CFB0707}" name="gym " dataDxfId="281"/>
    <tableColumn id="12" xr3:uid="{A369868D-8F6F-497E-B261-BFE657C2A481}" name="Squash" dataDxfId="280"/>
    <tableColumn id="11" xr3:uid="{386672B7-D36C-4C1E-B21A-2B400BB78E55}" name="Wake up at 10:30_x000a_sleep at 2" dataDxfId="279"/>
    <tableColumn id="8" xr3:uid="{B59E620D-4DA2-47C7-B18D-19F85B8973FB}" name="P" dataDxfId="278"/>
    <tableColumn id="5" xr3:uid="{5A031B6C-6036-4434-8CF9-A569E1EC0E3C}" name="Results" dataDxfId="277">
      <calculatedColumnFormula array="1">SUM(Table2141418[[#This Row],[CS224n Project]:[CS224n studying &amp;
past assignments]]*10, Table2141418[[#This Row],[CS234 Studying &amp;
past assignments]]*15, Table2141418[[#This Row],[Wake up at 10:30
sleep at 2]]*15, Table2141418[[#This Row],[P]]*10, Table2141418[[#This Row],[gym ]]*15)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D0580-F79F-40D6-B265-8DFF8CED55EC}" name="Table2613122" displayName="Table2613122" ref="P3:Y11" totalsRowShown="0" headerRowDxfId="276" dataDxfId="275">
  <autoFilter ref="P3:Y11" xr:uid="{28DD0580-F79F-40D6-B265-8DFF8CED55EC}"/>
  <tableColumns count="10">
    <tableColumn id="1" xr3:uid="{2A9F060C-B42E-47D4-84F8-28FA632B25CE}" name="Day\Project" dataDxfId="274"/>
    <tableColumn id="10" xr3:uid="{C90FEB60-E7AD-444D-947E-12BBEA350DDD}" name="Endo" dataDxfId="273"/>
    <tableColumn id="9" xr3:uid="{89D6B917-7743-412E-A144-B9BFDB68A037}" name="Repro" dataDxfId="272"/>
    <tableColumn id="6" xr3:uid="{57741968-1381-4F72-8D7B-FB9AA2DC2CF4}" name="RBS" dataDxfId="271"/>
    <tableColumn id="4" xr3:uid="{13FA904A-CD2F-4799-A76A-51670ADFFC67}" name="Work &amp; Reading" dataDxfId="270"/>
    <tableColumn id="3" xr3:uid="{424B892A-5A49-4347-B7DA-71EEE3131957}" name="Gym &amp; Diet" dataDxfId="269"/>
    <tableColumn id="2" xr3:uid="{A25BB2A8-B176-41C9-8C80-1C4F0B8F1E59}" name=" Early &amp; cold shower" dataDxfId="268"/>
    <tableColumn id="7" xr3:uid="{9D3F0960-C44C-4FED-9152-12618BE6A7E6}" name="Quit Scrollling" dataDxfId="267"/>
    <tableColumn id="8" xr3:uid="{0A1826A9-8B2A-4D8F-9B97-A514D7ABF143}" name="P" dataDxfId="266"/>
    <tableColumn id="5" xr3:uid="{95E208E8-0D58-4458-A55D-337C07C87E01}" name="Results" dataDxfId="265"/>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71E82F-573A-4FE9-AE2B-4CAAE4A80800}" name="Table21414185" displayName="Table21414185" ref="A3:N11" totalsRowShown="0" headerRowDxfId="264" dataDxfId="263">
  <autoFilter ref="A3:N11" xr:uid="{2271E82F-573A-4FE9-AE2B-4CAAE4A80800}"/>
  <tableColumns count="14">
    <tableColumn id="1" xr3:uid="{1E731038-09AA-4D92-8AEC-56C5D25403DC}" name="Day\Project" dataDxfId="262"/>
    <tableColumn id="6" xr3:uid="{FF139325-211B-4C7B-AC26-9C5EADCECC17}" name="CS224n Project" dataDxfId="261"/>
    <tableColumn id="4" xr3:uid="{5149F21B-8502-4DAA-943F-F935EE1F3F40}" name="CS234 project" dataDxfId="260"/>
    <tableColumn id="10" xr3:uid="{35ACC007-48BB-4457-A61F-F87770E4815C}" name="CS224n studying &amp;_x000a_past assignments" dataDxfId="259"/>
    <tableColumn id="9" xr3:uid="{FE2B349D-A2B2-4A9C-A362-82C561BE4178}" name="CS234 Studying &amp;_x000a_past assignments" dataDxfId="258"/>
    <tableColumn id="7" xr3:uid="{DBC14B06-DE38-4558-A739-40E9A2FDA264}" name="Math 104 Studying &amp;_x000a_past assignments" dataDxfId="257"/>
    <tableColumn id="13" xr3:uid="{07CDA734-426E-479B-8E72-CD633BC2BE99}" name="Summer Apps" dataDxfId="256"/>
    <tableColumn id="14" xr3:uid="{FF067169-FB68-4B8E-96A9-34E63E53D50E}" name="Leetcode design_x000a_Leetcode algorithm" dataDxfId="255"/>
    <tableColumn id="2" xr3:uid="{7D70F5C0-ED5C-44F8-9043-4823652A36F2}" name="Recording" dataDxfId="254"/>
    <tableColumn id="3" xr3:uid="{0042421E-C850-4755-A012-A7D07C4B0F67}" name="gym " dataDxfId="253"/>
    <tableColumn id="12" xr3:uid="{9F678B73-7CF8-42F7-8018-ABB15517DD5F}" name="Squash" dataDxfId="252"/>
    <tableColumn id="11" xr3:uid="{AEC72A0F-7A15-49AE-8D8B-DFA692439CBE}" name="Wake up at 10:30_x000a_sleep at 2" dataDxfId="251"/>
    <tableColumn id="8" xr3:uid="{41F12F2C-6BF6-4902-A783-FAEE7BE23829}" name="P" dataDxfId="250"/>
    <tableColumn id="5" xr3:uid="{AA928264-43AA-4D11-B0C6-3FA85EE22CF8}" name="Results" dataDxfId="249">
      <calculatedColumnFormula array="1">SUM(Table21414185[[#This Row],[CS224n Project]:[CS224n studying &amp;
past assignments]]*10, Table21414185[[#This Row],[CS234 Studying &amp;
past assignments]]*15, Table21414185[[#This Row],[Wake up at 10:30
sleep at 2]]*15, Table21414185[[#This Row],[P]]*10, Table21414185[[#This Row],[gym ]]*15)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BF48E2F-7BAA-4B63-9582-233B43B45723}" name="Table2141418516" displayName="Table2141418516" ref="A4:N12" totalsRowShown="0" headerRowDxfId="248" dataDxfId="247">
  <autoFilter ref="A4:N12" xr:uid="{BBF48E2F-7BAA-4B63-9582-233B43B45723}"/>
  <tableColumns count="14">
    <tableColumn id="1" xr3:uid="{0E8B00C7-1E35-4901-996F-3768790EA1A6}" name="Day\Project" dataDxfId="246"/>
    <tableColumn id="6" xr3:uid="{2371C4F8-4A67-43DE-B707-30E72FCC5AFB}" name="CS224n Project" dataDxfId="245"/>
    <tableColumn id="4" xr3:uid="{CC79E59D-DA3C-4BC9-B2C4-4B2326D38F6D}" name="CS234 project" dataDxfId="244"/>
    <tableColumn id="10" xr3:uid="{B2927D8F-80C2-46C2-9DF5-6979264651F4}" name="CS224n studying &amp;_x000a_past assignments" dataDxfId="243"/>
    <tableColumn id="9" xr3:uid="{1A425C6F-D01A-4732-BC66-CE25C3778A00}" name="CS234 Studying &amp;_x000a_past assignments" dataDxfId="242"/>
    <tableColumn id="7" xr3:uid="{2B461A83-BB42-4E33-8CE6-86085F62C4BB}" name="Math 104 Studying &amp;_x000a_past assignments" dataDxfId="241"/>
    <tableColumn id="13" xr3:uid="{0A0772BE-0440-4438-AF90-ECAB4F5F26E3}" name="Summer Apps" dataDxfId="240"/>
    <tableColumn id="14" xr3:uid="{2E557610-F54F-4FC0-BE8B-9ED319692078}" name="Leetcode design_x000a_Leetcode algorithm" dataDxfId="239"/>
    <tableColumn id="2" xr3:uid="{609E2830-3892-4B02-92F5-C41DD05EA915}" name="Recording" dataDxfId="238"/>
    <tableColumn id="3" xr3:uid="{31B5A314-B51D-49A0-80B4-23F95E90641D}" name="gym " dataDxfId="237"/>
    <tableColumn id="12" xr3:uid="{E0F9BA51-BA8E-45B1-88AC-C259A34CD8DA}" name="Squash" dataDxfId="236"/>
    <tableColumn id="11" xr3:uid="{539B7AEC-3DD3-48BD-A5D2-BF5E298497A7}" name="Wake up at 10:30_x000a_sleep at 2" dataDxfId="235"/>
    <tableColumn id="8" xr3:uid="{63353DDB-35B0-4821-BCD5-0BDD2691032B}" name="P" dataDxfId="234"/>
    <tableColumn id="5" xr3:uid="{432184DC-6CBC-48B2-89B9-01DC9F31BB96}" name="Results" dataDxfId="233">
      <calculatedColumnFormula array="1">SUM(Table2141418516[[#This Row],[CS224n Project]:[CS224n studying &amp;
past assignments]]*10, Table2141418516[[#This Row],[CS234 Studying &amp;
past assignments]]*15, Table2141418516[[#This Row],[Wake up at 10:30
sleep at 2]]*15, Table2141418516[[#This Row],[P]]*10, Table2141418516[[#This Row],[gym ]]*15)</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73E9FB-DB71-4017-83B1-9402AF8E9820}" name="Table261312219" displayName="Table261312219" ref="P4:AA12" totalsRowShown="0" headerRowDxfId="232" dataDxfId="231">
  <autoFilter ref="P4:AA12" xr:uid="{DF73E9FB-DB71-4017-83B1-9402AF8E9820}"/>
  <tableColumns count="12">
    <tableColumn id="1" xr3:uid="{5864B3DC-F4BE-4BE5-A2CB-2ABC4BCE3D1D}" name="Day\Project" dataDxfId="230"/>
    <tableColumn id="10" xr3:uid="{6E9F56C9-81FF-46C1-9650-3F5BA6C19209}" name="Endo" dataDxfId="229"/>
    <tableColumn id="9" xr3:uid="{2812A993-08E0-48D2-A925-6661AE69FC60}" name="Repro" dataDxfId="228"/>
    <tableColumn id="6" xr3:uid="{495262C0-091D-407C-AF4D-BB275CFE64D3}" name="RBS" dataDxfId="227"/>
    <tableColumn id="12" xr3:uid="{895976A3-F133-4FDC-9171-E101BEA783B8}" name="Negida Academy"/>
    <tableColumn id="4" xr3:uid="{EAC35AB0-E03D-42B3-951D-EF6472F9851E}" name="Work &amp; Reading" dataDxfId="226"/>
    <tableColumn id="3" xr3:uid="{9A4CB48C-E521-43F0-B56F-7FEF0DB3731C}" name="Gym" dataDxfId="225"/>
    <tableColumn id="11" xr3:uid="{A030566B-E1A5-4828-AB5A-1859A5BDAD0B}" name="Cut &amp; Hydration"/>
    <tableColumn id="2" xr3:uid="{2DE2D8E7-17E9-4C64-9FA3-CF698183E8BB}" name="8 cont sleep hours" dataDxfId="224"/>
    <tableColumn id="7" xr3:uid="{FC709054-8743-4DEC-9FF5-AF20334B5185}" name="Quit Scrollling" dataDxfId="223"/>
    <tableColumn id="8" xr3:uid="{878E9D72-A3B7-4396-95CE-F9337CCFAD83}" name="P" dataDxfId="222"/>
    <tableColumn id="5" xr3:uid="{16DFB058-DB5F-4641-B99F-4AC1830A01A9}" name="Results" dataDxfId="221"/>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1C437-D1C2-4CBB-A4B8-7ECEA1E7C8D9}" name="Table2613122197" displayName="Table2613122197" ref="P3:AA11" totalsRowShown="0" headerRowDxfId="220" dataDxfId="219">
  <autoFilter ref="P3:AA11" xr:uid="{7CF1C437-D1C2-4CBB-A4B8-7ECEA1E7C8D9}"/>
  <tableColumns count="12">
    <tableColumn id="1" xr3:uid="{50168DD1-639C-4C80-B538-445B5EDE4E94}" name="Column1" dataDxfId="218"/>
    <tableColumn id="10" xr3:uid="{553370D8-F494-4040-8028-961B25A3A643}" name="Endo" dataDxfId="217"/>
    <tableColumn id="9" xr3:uid="{84C7DA55-85F5-433A-875A-D21BFB2F00E5}" name="Repro" dataDxfId="216"/>
    <tableColumn id="6" xr3:uid="{4D73E17A-FBEE-437D-9889-0AAA430CBBFF}" name="RBS" dataDxfId="215"/>
    <tableColumn id="12" xr3:uid="{5665E98F-A4CD-440C-B6BF-45565B469B19}" name="Negida Academy"/>
    <tableColumn id="4" xr3:uid="{73B2DDF8-D585-4B5D-B055-A06C4ED89525}" name="Work &amp; Reading" dataDxfId="214"/>
    <tableColumn id="3" xr3:uid="{9BBC787B-5CFF-4622-8A3B-242DE1EE8397}" name="Gym" dataDxfId="213"/>
    <tableColumn id="11" xr3:uid="{4D02B215-6324-4791-ADDD-4716BAFE3948}" name="Cut &amp; Hydration"/>
    <tableColumn id="2" xr3:uid="{30CBA0DB-5979-4DF0-91BE-FF774836747E}" name="45 min Cardio" dataDxfId="212"/>
    <tableColumn id="7" xr3:uid="{0E216216-21D6-49EF-8D57-1AD854BA3660}" name="Quit Scrollling" dataDxfId="211"/>
    <tableColumn id="8" xr3:uid="{1136760F-7610-4DA1-8074-D766C43BD885}" name="P" dataDxfId="210"/>
    <tableColumn id="5" xr3:uid="{0E80DA19-C978-4997-9A30-86003744538E}" name="Results" dataDxfId="209"/>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ED45783-8114-472C-BC68-9822E22D0E47}" name="Table214141851617" displayName="Table214141851617" ref="A3:N11" totalsRowShown="0" headerRowDxfId="208" dataDxfId="207">
  <autoFilter ref="A3:N11" xr:uid="{0ED45783-8114-472C-BC68-9822E22D0E47}"/>
  <tableColumns count="14">
    <tableColumn id="1" xr3:uid="{812AC20B-5615-4520-98DA-A7458B405121}" name="Day\Project" dataDxfId="206"/>
    <tableColumn id="6" xr3:uid="{BBCD9EA3-380A-4A15-B5CA-1175AA57FAF3}" name="CS224n Project" dataDxfId="205"/>
    <tableColumn id="4" xr3:uid="{650A9072-4DA5-41DD-8593-0975E2F2F24C}" name="CS234 project" dataDxfId="204"/>
    <tableColumn id="10" xr3:uid="{DD4F7583-7B43-42CD-BDBA-B3FB7922EF7D}" name="CS224n studying &amp;_x000a_past assignments" dataDxfId="203"/>
    <tableColumn id="9" xr3:uid="{95E81872-5CF9-4AAE-8289-81C6452E0E26}" name="CS234 Studying &amp;_x000a_past assignments" dataDxfId="202"/>
    <tableColumn id="7" xr3:uid="{C165A7FA-53A0-4276-97EA-1F1A12728F0C}" name="Math 104 Studying &amp;_x000a_past assignments" dataDxfId="201"/>
    <tableColumn id="13" xr3:uid="{44ACDCF4-99F0-45E1-AF8C-E3DBF5C9C1ED}" name="Summer Apps" dataDxfId="200"/>
    <tableColumn id="14" xr3:uid="{13D4A6F2-80D4-4C16-A02D-57C210724570}" name="Leetcode design_x000a_Leetcode algorithm" dataDxfId="199"/>
    <tableColumn id="2" xr3:uid="{58D9C934-8402-4699-BB55-6DB5E8C19DB4}" name="Recording" dataDxfId="198"/>
    <tableColumn id="3" xr3:uid="{29A18DF1-31C2-4065-B210-E5C8372413F2}" name="gym " dataDxfId="197"/>
    <tableColumn id="12" xr3:uid="{5C928DFF-3DB9-4263-BC20-5F1BDE8B85AC}" name="Squash" dataDxfId="196"/>
    <tableColumn id="11" xr3:uid="{F0AC4EC6-E1F6-441E-9BE5-77C4AEEAA97B}" name="Wake up at 10:30_x000a_sleep at 2" dataDxfId="195"/>
    <tableColumn id="8" xr3:uid="{542D6079-4A37-4413-A969-A42CC918A1A7}" name="P" dataDxfId="194"/>
    <tableColumn id="5" xr3:uid="{8834E2E3-D66E-442F-856B-73E96EBF222C}" name="Results" dataDxfId="193">
      <calculatedColumnFormula array="1">SUM(Table214141851617[[#This Row],[CS224n Project]:[CS224n studying &amp;
past assignments]]*10, Table214141851617[[#This Row],[CS234 Studying &amp;
past assignments]]*15, Table214141851617[[#This Row],[Wake up at 10:30
sleep at 2]]*15, Table214141851617[[#This Row],[P]]*10, Table214141851617[[#This Row],[gym ]]*15)</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34132A-E22B-4AE0-A2D5-172B7C48A446}" name="Table26131221978" displayName="Table26131221978" ref="O3:Z11" totalsRowShown="0" headerRowDxfId="192" dataDxfId="191">
  <autoFilter ref="O3:Z11" xr:uid="{3F34132A-E22B-4AE0-A2D5-172B7C48A446}"/>
  <tableColumns count="12">
    <tableColumn id="1" xr3:uid="{9CCDF03F-E98F-4929-A822-6939B3DEBE36}" name="Column1" dataDxfId="190"/>
    <tableColumn id="10" xr3:uid="{CAC4527D-4C00-46E2-BA98-8C1BAFA77254}" name="Endo" dataDxfId="189"/>
    <tableColumn id="9" xr3:uid="{490E522C-FF9B-42E2-92F7-5ED09C51340E}" name="Repro" dataDxfId="188"/>
    <tableColumn id="6" xr3:uid="{7B0029CD-23FE-4310-9AE6-E1990DC3C00F}" name="RBS" dataDxfId="187"/>
    <tableColumn id="12" xr3:uid="{F8E7FBDF-13E2-4649-B82E-ACE269FBA891}" name="Negida Academy"/>
    <tableColumn id="4" xr3:uid="{6A874D52-9F65-427A-8F85-90AAE7BB551E}" name="Work &amp; Reading" dataDxfId="186"/>
    <tableColumn id="3" xr3:uid="{675672E3-F9EB-426A-9C92-E5C977918461}" name="Gym" dataDxfId="185"/>
    <tableColumn id="11" xr3:uid="{768EDCE4-8D7C-4BED-84FC-7B5C3EFF7E50}" name="Cut &amp; Hydration"/>
    <tableColumn id="2" xr3:uid="{45578C71-1688-41A5-901C-E04A24964D3F}" name="45 min Cardio" dataDxfId="184"/>
    <tableColumn id="7" xr3:uid="{6D9887AD-ABD7-4E72-8E43-9DF33855992A}" name="quit scrolling" dataDxfId="183"/>
    <tableColumn id="8" xr3:uid="{57B51698-5985-4B24-8997-5F8C58563407}" name="P" dataDxfId="182"/>
    <tableColumn id="5" xr3:uid="{1769CB2B-8980-4C9E-9BEA-AFDD25CE552C}" name="Results" dataDxfId="181"/>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EB98481-CE5C-4C50-929F-1AD64A088075}" name="Table21414185161720" displayName="Table21414185161720" ref="A3:M11" totalsRowShown="0" headerRowDxfId="180" dataDxfId="179">
  <autoFilter ref="A3:M11" xr:uid="{0EB98481-CE5C-4C50-929F-1AD64A088075}"/>
  <tableColumns count="13">
    <tableColumn id="1" xr3:uid="{5AB2D00A-9F17-4FBE-842F-DA376C9859C8}" name="Day\Project" dataDxfId="178"/>
    <tableColumn id="6" xr3:uid="{97107988-48E8-453B-A5EE-BDACD6D70376}" name="LabCast" dataDxfId="177"/>
    <tableColumn id="7" xr3:uid="{08AD9D60-F297-41A2-A30E-F9C36178F2B5}" name="LabCast Studying" dataDxfId="176"/>
    <tableColumn id="13" xr3:uid="{076CDFAE-8773-4560-B750-F85C9DF9E59C}" name="Summer Apps" dataDxfId="175"/>
    <tableColumn id="4" xr3:uid="{BF72BEE4-9224-4AFD-A8D7-B7916217580E}" name="Math Problem Solving" dataDxfId="174"/>
    <tableColumn id="14" xr3:uid="{9B9857CB-B869-41B7-B4A7-11FD5D510130}" name="Leetcode design_x000a_Leetcode algorithm" dataDxfId="173"/>
    <tableColumn id="2" xr3:uid="{20552E27-5424-4E8F-9E25-1BD1614D4EF4}" name="Recording" dataDxfId="172"/>
    <tableColumn id="3" xr3:uid="{C09988C4-D804-43E1-96A3-D4745A12DFBA}" name="gym " dataDxfId="171"/>
    <tableColumn id="12" xr3:uid="{612B032E-7ED8-40DB-911E-3EBC18D01D7B}" name="Squash" dataDxfId="170"/>
    <tableColumn id="9" xr3:uid="{E79782B1-A2D0-426C-BE7E-93707D605C37}" name="Screentime &lt; 2 hrs" dataDxfId="169"/>
    <tableColumn id="11" xr3:uid="{05057188-8B4D-4E1A-B48E-819FD060F030}" name="Wake up at 10:30_x000a_sleep at 2" dataDxfId="168"/>
    <tableColumn id="8" xr3:uid="{0D441604-E77C-4A48-BB79-40693E9E6E2D}" name="P" dataDxfId="167"/>
    <tableColumn id="5" xr3:uid="{49FF8639-7DC5-473B-8A66-1C4C684C4FDF}" name="Results" dataDxfId="166">
      <calculatedColumnFormula>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C1EADA-5806-4CA5-B7C4-AB0CF272B71D}" name="Table2613122197810" displayName="Table2613122197810" ref="P4:AB12" totalsRowShown="0" headerRowDxfId="165" dataDxfId="164">
  <autoFilter ref="P4:AB12" xr:uid="{30C1EADA-5806-4CA5-B7C4-AB0CF272B71D}"/>
  <tableColumns count="13">
    <tableColumn id="1" xr3:uid="{0BBCF886-229C-4C9E-A6AC-2DD4446EBD41}" name="Column1" dataDxfId="163"/>
    <tableColumn id="10" xr3:uid="{2407A9F9-FC60-46BD-AE9B-A641D756ECFE}" name="CNS" dataDxfId="162"/>
    <tableColumn id="9" xr3:uid="{599B4E41-E05D-422C-A2D2-5DEA4DF69DB2}" name="ENR" dataDxfId="161"/>
    <tableColumn id="6" xr3:uid="{10E24620-A828-4FEF-B871-A36A06B46685}" name="RBS" dataDxfId="160"/>
    <tableColumn id="12" xr3:uid="{06F18F1A-AC67-4EDA-B547-00C687930D06}" name="Negida Academy"/>
    <tableColumn id="4" xr3:uid="{5D5D378F-EEA3-44DC-8C1A-B065E35EB879}" name="Work &amp; Reading" dataDxfId="159"/>
    <tableColumn id="3" xr3:uid="{FE37BCBF-B999-44FB-B6B8-90188DAF0DDC}" name="Gym" dataDxfId="158"/>
    <tableColumn id="11" xr3:uid="{3D8E151A-0F4E-4AB1-8430-E1DD3BD4C39C}" name="Cut &amp; Hydration"/>
    <tableColumn id="2" xr3:uid="{3C1F4D55-FA14-445A-AE32-7F2555BD80B0}" name="45 min Cardio" dataDxfId="157"/>
    <tableColumn id="7" xr3:uid="{1B6CB7A3-5560-40A6-A18D-ECC9983A9B52}" name="quit scrolling" dataDxfId="156"/>
    <tableColumn id="8" xr3:uid="{0255E794-C413-4AEC-AE15-C549164E20F0}" name="P" dataDxfId="155"/>
    <tableColumn id="14" xr3:uid="{31065510-6539-45B2-8228-1DE1BA04907C}" name="RT" dataDxfId="154"/>
    <tableColumn id="5" xr3:uid="{A42B083D-F036-4ADD-A49E-E84D292382EE}" name="Results" dataDxfId="153"/>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9D65A9-5BEA-423E-8959-FF35EC4EDA73}" name="Table214141851617209" displayName="Table214141851617209" ref="A3:L11" totalsRowShown="0" headerRowDxfId="152" dataDxfId="151">
  <autoFilter ref="A3:L11" xr:uid="{2E9D65A9-5BEA-423E-8959-FF35EC4EDA73}"/>
  <tableColumns count="12">
    <tableColumn id="1" xr3:uid="{9FAE87FE-735F-4232-A7A6-E3E07E285E00}" name="Day\Project" dataDxfId="150"/>
    <tableColumn id="6" xr3:uid="{3B3EBCFD-AA8C-44B5-B50D-98E8CE721A15}" name="LabCast" dataDxfId="149"/>
    <tableColumn id="2" xr3:uid="{3B01E5B9-E538-4B67-B17B-DAB569006E0A}" name="Lectures" dataDxfId="148"/>
    <tableColumn id="7" xr3:uid="{CC5C7026-AA00-4834-9BB9-3DABDC2DA74B}" name="LabCast Studying" dataDxfId="147"/>
    <tableColumn id="14" xr3:uid="{CF052728-3A31-4140-9077-2F057CE5AEBA}" name="Leetcode design_x000a_Leetcode algorithm" dataDxfId="146"/>
    <tableColumn id="3" xr3:uid="{65F4BB5A-4254-4063-80CC-69CD5FDFE57D}" name="gym " dataDxfId="145"/>
    <tableColumn id="12" xr3:uid="{8AD1034B-97F4-431D-B103-1A8871E52C91}" name="Squash" dataDxfId="144"/>
    <tableColumn id="9" xr3:uid="{59E3B5A7-E10C-46B3-8E8A-CE2BC6E2E226}" name="Screentime &lt; 2 hrs" dataDxfId="143"/>
    <tableColumn id="11" xr3:uid="{85E6DE7A-1B72-466E-9D49-6BCABDC0D599}" name="Wake up at 10:30_x000a_sleep at 2" dataDxfId="142"/>
    <tableColumn id="8" xr3:uid="{CE6BA35F-0916-4B7A-A7CC-97EDE74028A2}" name="P" dataDxfId="141"/>
    <tableColumn id="4" xr3:uid="{3E1982E8-C04D-4F3A-9B07-BE861EF3B26A}" name="Recharging " dataDxfId="140"/>
    <tableColumn id="5" xr3:uid="{5B3F6C50-C2EF-4EFC-B572-BC4E0397DAD0}" name="Results" dataDxfId="139"/>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EBB2A3B-731E-4616-84BF-2C7165042266}" name="Table21414185161720921" displayName="Table21414185161720921" ref="A3:O11" totalsRowShown="0" headerRowDxfId="138" dataDxfId="137">
  <autoFilter ref="A3:O11" xr:uid="{6EBB2A3B-731E-4616-84BF-2C7165042266}"/>
  <tableColumns count="15">
    <tableColumn id="1" xr3:uid="{980CCCE0-22EE-4A2F-A1E6-89909443291C}" name="Day\Project" dataDxfId="136"/>
    <tableColumn id="6" xr3:uid="{ADC7A935-A37C-47F1-9230-3EE0F958A4A9}" name="LabCast" dataDxfId="135"/>
    <tableColumn id="7" xr3:uid="{EB637065-8B73-40FA-BC0E-6A0D431E1F14}" name="LabCast Studying" dataDxfId="134"/>
    <tableColumn id="17" xr3:uid="{8D85E68B-B27F-40B4-8CCC-BABB9F0051DB}" name="Leetcode design_x000a_Leetcode algorithm" dataDxfId="133"/>
    <tableColumn id="10" xr3:uid="{675999FB-F582-423F-B69C-450565ECD6BC}" name="HairFlow Research" dataDxfId="132"/>
    <tableColumn id="13" xr3:uid="{7757D666-2AD4-46C3-B778-6DDD8340F272}" name="CS131" dataDxfId="131"/>
    <tableColumn id="15" xr3:uid="{B90E8B4C-F7B3-4C4B-8D31-3A33FA71A394}" name="History 1C" dataDxfId="130"/>
    <tableColumn id="14" xr3:uid="{3CE6BD20-B1F5-477B-93D6-596F8D2FB924}" name="PWR2" dataDxfId="129"/>
    <tableColumn id="3" xr3:uid="{E70E268F-3599-4D23-830E-A9F4565A9A85}" name="gym " dataDxfId="128"/>
    <tableColumn id="12" xr3:uid="{81A04D73-0738-4E18-8F0B-DAAC1787258D}" name="Squash" dataDxfId="127"/>
    <tableColumn id="9" xr3:uid="{EBB43BA2-DD44-4DEA-86F2-FA87325C4DEB}" name="Screentime &lt; 2 hrs" dataDxfId="126"/>
    <tableColumn id="11" xr3:uid="{08D938FD-91EB-43A3-B809-E20F25301D45}" name="Wake up at 10:30_x000a_sleep at 2" dataDxfId="125"/>
    <tableColumn id="8" xr3:uid="{D13669AA-FC80-477E-8E7E-6CACD886D418}" name="P" dataDxfId="124"/>
    <tableColumn id="4" xr3:uid="{9AB04563-7E3A-45EE-996C-04D5D3A67437}" name="Recharging " dataDxfId="123"/>
    <tableColumn id="5" xr3:uid="{66EA48B4-C4A2-4828-8B73-4DFCE0B095CC}" name="Results" dataDxfId="122">
      <calculatedColumnFormula>SUM(Table21414185161720921[[#This Row],[LabCast Studying]]*15,#REF!* 15,Table21414185161720921[[#This Row],[LabCast]]*10, Table21414185161720921[[#This Row],[Wake up at 10:30
sleep at 2]]*15, Table21414185161720921[[#This Row],[P]]*15, Table21414185161720921[[#This Row],[gym ]]*15+#REF!*10, Table21414185161720921[[#This Row],[Squash]]*15,#REF!* 10, Table21414185161720921[[#This Row],[PWR2]]*15, Table21414185161720921[[#This Row],[Screentime &lt; 2 hrs]]*10)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CA4BA5-A910-40ED-86D3-085EF5300F31}" name="Table261312219781011" displayName="Table261312219781011" ref="U3:AG11" totalsRowShown="0" headerRowDxfId="121" dataDxfId="120">
  <autoFilter ref="U3:AG11" xr:uid="{E3CA4BA5-A910-40ED-86D3-085EF5300F31}"/>
  <tableColumns count="13">
    <tableColumn id="1" xr3:uid="{212928BA-528C-4C82-8833-D9B0D27D8E88}" name="Column1" dataDxfId="119"/>
    <tableColumn id="10" xr3:uid="{5C12BCF8-153E-432F-AE78-AD8A9617EE37}" name="CNS" dataDxfId="118"/>
    <tableColumn id="9" xr3:uid="{26B193AF-F013-4526-ABD8-E2515E4093AA}" name="ENR" dataDxfId="117"/>
    <tableColumn id="6" xr3:uid="{A45E0FD9-1735-424E-BAB2-3A3CE5451E03}" name="RBS" dataDxfId="116"/>
    <tableColumn id="12" xr3:uid="{F33E32B8-FD4A-4C58-A85E-185EB4D7C0F5}" name="Negida Academy"/>
    <tableColumn id="4" xr3:uid="{49EDD955-E3A9-4217-8104-DE6646705DAA}" name="Work &amp; Reading" dataDxfId="115"/>
    <tableColumn id="3" xr3:uid="{F2EC5DB5-740F-44EA-B5DA-C73385BA8E56}" name="Gym" dataDxfId="114"/>
    <tableColumn id="11" xr3:uid="{BA4567C6-01C3-4A54-A0BB-9D973BD01886}" name="Cut &amp; Hydration"/>
    <tableColumn id="2" xr3:uid="{1ABAE3B5-AA3C-4B0E-86DD-CAC932408748}" name="45 min Cardio" dataDxfId="113"/>
    <tableColumn id="7" xr3:uid="{15DDEFBE-8C60-45D4-B10B-D8F31B1D6184}" name="quit scrolling" dataDxfId="112"/>
    <tableColumn id="8" xr3:uid="{D0D00436-4803-4B61-9F7E-B48285E1A2DF}" name="P" dataDxfId="111"/>
    <tableColumn id="14" xr3:uid="{DF20803F-DBEA-4F51-B976-9CBC36AC8CAE}" name="RT" dataDxfId="110"/>
    <tableColumn id="5" xr3:uid="{8601D036-858A-4D57-8053-2EF3C0766FAA}" name="Results" dataDxfId="109"/>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DB09632-54B5-406C-B20C-B6533BD25995}" name="Table2141418516172092121" displayName="Table2141418516172092121" ref="A3:P11" totalsRowShown="0" headerRowDxfId="108" dataDxfId="107">
  <autoFilter ref="A3:P11" xr:uid="{6DB09632-54B5-406C-B20C-B6533BD25995}"/>
  <tableColumns count="16">
    <tableColumn id="1" xr3:uid="{21C528F8-24D9-4435-9307-E5CA7E4B660E}" name="Day\Project" dataDxfId="106"/>
    <tableColumn id="6" xr3:uid="{EA76310D-EFCB-408B-B4B1-E407C1DC98F4}" name="LabCast" dataDxfId="105"/>
    <tableColumn id="7" xr3:uid="{9D6BF665-5809-4B72-9FA8-5732F0919D0F}" name="LabCast Studying" dataDxfId="104"/>
    <tableColumn id="17" xr3:uid="{2DF4253B-5908-4C2E-8669-0AEFF703925F}" name="Leetcode design_x000a_Leetcode algorithm" dataDxfId="103"/>
    <tableColumn id="10" xr3:uid="{465145F0-8EEF-4EEA-854A-1854D6DD605B}" name="HairFlow Research" dataDxfId="102"/>
    <tableColumn id="13" xr3:uid="{9D7F8327-4D25-4654-9FC2-B608C54BAB3F}" name="CS131" dataDxfId="101"/>
    <tableColumn id="15" xr3:uid="{519981B0-EA97-40D2-9EE2-0F9091320A56}" name="History 1C" dataDxfId="100"/>
    <tableColumn id="2" xr3:uid="{EDD773B4-38D6-4AFF-8ABB-C769F275FFB9}" name="Admin Tasks (indiv)" dataDxfId="99"/>
    <tableColumn id="14" xr3:uid="{294BC0CB-D246-478E-9B97-8C9B1DF7DD6E}" name="PWR2" dataDxfId="98"/>
    <tableColumn id="3" xr3:uid="{46FD0687-C00F-4AB6-8699-B0D8B63DEDFD}" name="gym " dataDxfId="97"/>
    <tableColumn id="12" xr3:uid="{CCD2CF9F-E5CB-4FCF-AE15-B1CBD97F931F}" name="Squash" dataDxfId="96"/>
    <tableColumn id="9" xr3:uid="{9C266DFA-D8AB-4B4F-9A46-F2770CEE0A13}" name="Screentime &lt; 2 hr_x000a_(excl whats, discord)" dataDxfId="95"/>
    <tableColumn id="11" xr3:uid="{6F1B6696-E190-4B35-95D4-50869EDA4BE1}" name="Wake up at 10:30_x000a_sleep at 2" dataDxfId="94"/>
    <tableColumn id="8" xr3:uid="{81B21081-53C4-4FD8-943D-AB1A6816D6E4}" name="P" dataDxfId="93"/>
    <tableColumn id="4" xr3:uid="{FAD12BFE-5757-48FD-BF52-2B45B03954F5}" name="Recharging &amp; _x000a_Socializing" dataDxfId="92"/>
    <tableColumn id="5" xr3:uid="{D46D763C-A207-44EB-A52B-D98A1AD49A3B}" name="Results" dataDxfId="91">
      <calculatedColumnFormula>SUM(Table2141418516172092121[[#This Row],[LabCast Studying]]*15,#REF!* 15,Table2141418516172092121[[#This Row],[LabCast]]*10, Table2141418516172092121[[#This Row],[Wake up at 10:30
sleep at 2]]*15, Table2141418516172092121[[#This Row],[P]]*15, Table2141418516172092121[[#This Row],[gym ]]*15+#REF!*10, Table2141418516172092121[[#This Row],[Squash]]*15,#REF!* 10, Table2141418516172092121[[#This Row],[PWR2]]*15, Table2141418516172092121[[#This Row],[Screentime &lt; 2 hr
(excl whats, discord)]]*10)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A0A4D58-4F44-4404-841C-7F53D88E34EA}" name="Table26131221978101123" displayName="Table26131221978101123" ref="V3:AH11" totalsRowShown="0" headerRowDxfId="90" dataDxfId="89">
  <autoFilter ref="V3:AH11" xr:uid="{4A0A4D58-4F44-4404-841C-7F53D88E34EA}"/>
  <tableColumns count="13">
    <tableColumn id="1" xr3:uid="{51654585-45E5-48CA-8A4D-4EDEFE059E15}" name="Column1" dataDxfId="88"/>
    <tableColumn id="10" xr3:uid="{D951F366-BA05-4D8C-A734-157F2C78ECB1}" name="CNS" dataDxfId="87"/>
    <tableColumn id="9" xr3:uid="{B2927AEB-BDB0-4729-94E5-378050ED8280}" name="ENR" dataDxfId="86"/>
    <tableColumn id="6" xr3:uid="{C9F5463E-0B81-4169-AA2B-4DEF5DF3243B}" name="RBS" dataDxfId="85"/>
    <tableColumn id="12" xr3:uid="{517B21EB-ACE5-41FF-8DDF-57DFD0B310A5}" name="Negida Academy"/>
    <tableColumn id="4" xr3:uid="{8A4A0B15-846E-4ED1-B9DF-0C19D9EE4020}" name="Work &amp; Reading" dataDxfId="84"/>
    <tableColumn id="3" xr3:uid="{570FB4A1-9A78-4075-89AF-BA58D2ED7748}" name="Gym" dataDxfId="83"/>
    <tableColumn id="11" xr3:uid="{383914BB-1AA1-4347-B40E-219A12C051B2}" name="Cut &amp; Hydration"/>
    <tableColumn id="2" xr3:uid="{FC55B597-CB87-4748-A310-7EAC2D6C7BA2}" name="45 min Cardio" dataDxfId="82"/>
    <tableColumn id="7" xr3:uid="{2CB6F4DF-6C41-4A20-8FC8-3AF6B88BE89D}" name="quit scrolling" dataDxfId="81"/>
    <tableColumn id="8" xr3:uid="{9790DE6D-4146-42BC-9F7D-A4A9256BF64C}" name="P" dataDxfId="80"/>
    <tableColumn id="14" xr3:uid="{CAFABCF2-96D3-40F8-BB24-E3CFE58E2BCB}" name="RT" dataDxfId="79"/>
    <tableColumn id="5" xr3:uid="{708D209F-F341-4C35-99E6-09381FBC0399}" name="Results" dataDxfId="78"/>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66A91BE-F81E-4416-91C5-69833BBF7448}" name="Table214141851617209212124" displayName="Table214141851617209212124" ref="A3:P11" totalsRowShown="0" headerRowDxfId="77" dataDxfId="76">
  <autoFilter ref="A3:P11" xr:uid="{266A91BE-F81E-4416-91C5-69833BBF7448}"/>
  <tableColumns count="16">
    <tableColumn id="1" xr3:uid="{90C3E634-2319-401F-99C2-3E397F2ACE19}" name="Day\Project" dataDxfId="75"/>
    <tableColumn id="6" xr3:uid="{C1229A1C-7D65-4FED-AC01-E91DAEAD6C1B}" name="LabCast" dataDxfId="74"/>
    <tableColumn id="7" xr3:uid="{AB26C62B-8076-4E07-A9C0-D458862E7806}" name="LabCast Studying" dataDxfId="73"/>
    <tableColumn id="17" xr3:uid="{6DDEE4F0-1E39-405D-9EAB-50E21C32359D}" name="Leetcode design_x000a_Leetcode algorithm" dataDxfId="72"/>
    <tableColumn id="10" xr3:uid="{7444C9A3-7EE1-4F23-9C37-6C34D36B035B}" name="HairFlow Research" dataDxfId="71"/>
    <tableColumn id="13" xr3:uid="{5360701C-28B6-4245-ABDF-52BC20E61F75}" name="CS131" dataDxfId="70"/>
    <tableColumn id="15" xr3:uid="{4C29F89E-801E-4803-9BAA-DB74AAB277CF}" name="History 1C" dataDxfId="69"/>
    <tableColumn id="2" xr3:uid="{4AAFC45F-A84B-4DB9-8C7D-83FD42979562}" name="Admin Tasks (indiv)" dataDxfId="68"/>
    <tableColumn id="14" xr3:uid="{647BF25C-41EB-45ED-8A07-40346F199BBC}" name="PWR2" dataDxfId="67"/>
    <tableColumn id="3" xr3:uid="{2A030FDB-B929-4919-A342-1FCC0CCBB974}" name="gym " dataDxfId="66"/>
    <tableColumn id="12" xr3:uid="{2D074347-D61D-43E0-B754-36ACC9E24D4D}" name="Squash" dataDxfId="65"/>
    <tableColumn id="9" xr3:uid="{3AA9B255-F238-4AAF-9959-A269E0D4B1D5}" name="Screentime &lt; 2 hr_x000a_(excl whats, discord)" dataDxfId="64"/>
    <tableColumn id="11" xr3:uid="{70057D30-2FDC-4D10-8365-79B2D1AC606F}" name="Wake up at 10:30_x000a_sleep at 2" dataDxfId="63"/>
    <tableColumn id="8" xr3:uid="{1D117C27-5E20-42D7-8B41-F11171D365DD}" name="P" dataDxfId="62"/>
    <tableColumn id="4" xr3:uid="{408DF1A7-6DF0-47D1-9453-3C2C4DE7B3EE}" name="Recharging &amp; _x000a_Socializing" dataDxfId="61"/>
    <tableColumn id="5" xr3:uid="{F374B031-A32C-4CCA-812E-EF685EC498B2}" name="Results" dataDxfId="60">
      <calculatedColumnFormula>SUM(Table214141851617209212124[[#This Row],[LabCast Studying]]*15,#REF!* 15,Table214141851617209212124[[#This Row],[LabCast]]*10, Table214141851617209212124[[#This Row],[Wake up at 10:30
sleep at 2]]*15, Table214141851617209212124[[#This Row],[P]]*15, Table214141851617209212124[[#This Row],[gym ]]*15+#REF!*10, Table214141851617209212124[[#This Row],[Squash]]*15,#REF!* 10, Table214141851617209212124[[#This Row],[PWR2]]*15, Table214141851617209212124[[#This Row],[Screentime &lt; 2 hr
(excl whats, discord)]]*10)</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0D20F9D-AC61-4427-AC84-555F5D3520C3}" name="Table2613122197810112325" displayName="Table2613122197810112325" ref="U3:AG11" totalsRowShown="0" headerRowDxfId="59" dataDxfId="58">
  <autoFilter ref="U3:AG11" xr:uid="{30D20F9D-AC61-4427-AC84-555F5D3520C3}"/>
  <tableColumns count="13">
    <tableColumn id="1" xr3:uid="{9516CC50-05B5-40ED-8F7E-6384D6522745}" name="Column1" dataDxfId="57"/>
    <tableColumn id="10" xr3:uid="{ED8C68A7-D53D-4B6A-8E46-F3B4D7ADE25F}" name="CNS" dataDxfId="56"/>
    <tableColumn id="9" xr3:uid="{FA3B4832-AE09-476B-A1B0-448C220C1AA3}" name="ENR" dataDxfId="55"/>
    <tableColumn id="6" xr3:uid="{323F8F44-04AE-4EA7-BAF9-0EF97123A587}" name="RBS" dataDxfId="54"/>
    <tableColumn id="12" xr3:uid="{7974D54C-CF7B-4C34-ADB7-2BFB4DEBBB38}" name="Negida Academy"/>
    <tableColumn id="4" xr3:uid="{D5001A85-175C-4911-B438-09328308612D}" name="Work &amp; Reading" dataDxfId="53"/>
    <tableColumn id="3" xr3:uid="{24FC86AC-2C32-41AA-B452-D326F17AC066}" name="Gym" dataDxfId="52"/>
    <tableColumn id="11" xr3:uid="{759AA5E1-4889-4630-BE0B-9035375C5D77}" name="Cut &amp; Hydration"/>
    <tableColumn id="2" xr3:uid="{98B08C99-CDB1-4F0E-8751-4CC9D12D1314}" name="45 min Cardio" dataDxfId="51"/>
    <tableColumn id="7" xr3:uid="{14D4CE40-C43B-4430-A1CF-6F55E4DB4E93}" name="quit scrolling" dataDxfId="50"/>
    <tableColumn id="8" xr3:uid="{CAB49DD8-7D9C-4012-98B2-B1E5F648ED52}" name="P" dataDxfId="49"/>
    <tableColumn id="14" xr3:uid="{114F014F-064E-4C24-B3D5-8037CD167650}" name="RT" dataDxfId="48"/>
    <tableColumn id="5" xr3:uid="{6AEBF4E0-0850-4AF9-B0CA-A64F028E5D1D}" name="Results" dataDxfId="47"/>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17CF7E4-42CD-40F5-A329-5EB1F8BE67AE}" name="Table21414185161720921212426" displayName="Table21414185161720921212426" ref="A3:M11" totalsRowShown="0" headerRowDxfId="46" dataDxfId="45">
  <autoFilter ref="A3:M11" xr:uid="{517CF7E4-42CD-40F5-A329-5EB1F8BE67AE}"/>
  <tableColumns count="13">
    <tableColumn id="1" xr3:uid="{E32EC019-7213-4DDD-A46E-5B7C5D177D82}" name="Day\Project" dataDxfId="44"/>
    <tableColumn id="6" xr3:uid="{149780CA-1297-4959-B21B-40C97D2EEB2E}" name="Labcast" dataDxfId="43"/>
    <tableColumn id="17" xr3:uid="{3CEA2DA5-D45F-4754-B365-04C3BEB6E6D8}" name="Leetcode " dataDxfId="42"/>
    <tableColumn id="10" xr3:uid="{BBA53BDD-43F1-4503-BD2D-727989D522D4}" name="HairFlow " dataDxfId="41"/>
    <tableColumn id="13" xr3:uid="{D231EBDA-859D-4619-86D8-DB1FC26A125F}" name="Classes _x000a_(PWR, 131, D45)" dataDxfId="40"/>
    <tableColumn id="15" xr3:uid="{EA5B81D3-8DFF-4F2F-8DD9-B1A5F4BB0D41}" name="Reading H1C" dataDxfId="39"/>
    <tableColumn id="2" xr3:uid="{0991802D-EB05-46B7-AD9E-10D0BBCFEF2E}" name="Admin Tasks (indiv)" dataDxfId="38"/>
    <tableColumn id="3" xr3:uid="{B58B9852-E08D-42EE-806C-4BF567DA8E0F}" name="gym " dataDxfId="37"/>
    <tableColumn id="12" xr3:uid="{6F13C1F2-E57A-4261-B1BC-5A71D03A3517}" name="Squash" dataDxfId="36"/>
    <tableColumn id="11" xr3:uid="{F178503B-B832-4856-8F02-3363227F3903}" name="Wake up at 10:30_x000a_sleep at 2" dataDxfId="35"/>
    <tableColumn id="8" xr3:uid="{E29B7421-712A-4E90-8C2F-9034D5F0710B}" name="P" dataDxfId="34"/>
    <tableColumn id="4" xr3:uid="{AD39FB27-EF1B-48F4-84E6-0B5AE617688C}" name="Recharging &amp; _x000a_Socializing" dataDxfId="33"/>
    <tableColumn id="5" xr3:uid="{A145C99D-FE8B-4E0D-9224-704F2E637E50}" name="Results" dataDxfId="32">
      <calculatedColumnFormula>SUM(#REF!*15,#REF!* 15,Table21414185161720921212426[[#This Row],[Labcast]]*10, Table21414185161720921212426[[#This Row],[Wake up at 10:30
sleep at 2]]*15, Table21414185161720921212426[[#This Row],[P]]*15, Table21414185161720921212426[[#This Row],[gym ]]*15+#REF!*10, Table21414185161720921212426[[#This Row],[Squash]]*15,#REF!* 10,#REF!* 15,#REF!* 10)</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AC0671A-F2BA-4472-BF7B-F3F306AD2E4F}" name="Table261312219781011232527" displayName="Table261312219781011232527" ref="P3:AB11" totalsRowShown="0" headerRowDxfId="31" dataDxfId="30">
  <autoFilter ref="P3:AB11" xr:uid="{CAC0671A-F2BA-4472-BF7B-F3F306AD2E4F}"/>
  <tableColumns count="13">
    <tableColumn id="1" xr3:uid="{3A916064-B201-47E8-B60A-A2B4724DD9E8}" name="Column1" dataDxfId="29"/>
    <tableColumn id="10" xr3:uid="{0558589B-DDAE-4192-92A7-C653AC3B6B9D}" name="CNS" dataDxfId="28"/>
    <tableColumn id="9" xr3:uid="{81628137-EFF1-4D53-9135-B136B63997A7}" name="ENR" dataDxfId="27"/>
    <tableColumn id="6" xr3:uid="{24562814-1552-484F-8ECA-6AC99952B314}" name="RBS" dataDxfId="26"/>
    <tableColumn id="12" xr3:uid="{637D42C1-F707-478A-BE2A-5327280930F7}" name="Negida Academy"/>
    <tableColumn id="4" xr3:uid="{AF42FAE6-6A0F-4623-BD8E-80463067694E}" name="Work &amp; Reading" dataDxfId="25"/>
    <tableColumn id="3" xr3:uid="{2CC1111F-60D5-4DD4-A76F-55BD4BE6A2E2}" name="Gym" dataDxfId="24"/>
    <tableColumn id="11" xr3:uid="{C5B6555C-291A-42FD-978D-82A7F55C9B92}" name="Cut &amp; Hydration"/>
    <tableColumn id="2" xr3:uid="{EE0E8A48-67D0-4275-B485-F534049640D0}" name="1 hr Cardio" dataDxfId="23"/>
    <tableColumn id="7" xr3:uid="{E9AD14E8-87F4-4E0B-A19A-CEBF95DAA941}" name="quit scrolling" dataDxfId="22"/>
    <tableColumn id="8" xr3:uid="{FE6D8370-F9F7-4237-887D-572EC09B60D1}" name="P" dataDxfId="21"/>
    <tableColumn id="14" xr3:uid="{577ED495-159E-4AB5-8DAE-F97807ABE05B}" name="RT" dataDxfId="20"/>
    <tableColumn id="5" xr3:uid="{5750A9EE-4434-4169-908A-A5B21AAE28BB}" name="Results" dataDxfId="19"/>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04731D7-B39B-4037-A308-028F54E9D1E2}" name="Table26131221978101123252728" displayName="Table26131221978101123252728" ref="P3:AB11" totalsRowShown="0" headerRowDxfId="18" dataDxfId="17">
  <autoFilter ref="P3:AB11" xr:uid="{C04731D7-B39B-4037-A308-028F54E9D1E2}"/>
  <tableColumns count="13">
    <tableColumn id="1" xr3:uid="{94376FB1-EB33-4973-B0D0-B732C4883B2F}" name="Column1" dataDxfId="16"/>
    <tableColumn id="10" xr3:uid="{722F11BA-37F6-4F55-BDB6-E3C225F62604}" name="CNS" dataDxfId="15"/>
    <tableColumn id="9" xr3:uid="{36807124-ACCD-453A-A99C-9B3B79BE2A75}" name="ENR" dataDxfId="14"/>
    <tableColumn id="6" xr3:uid="{9244B4E4-6967-497D-88AA-2D2604F2D45D}" name="RBS" dataDxfId="13"/>
    <tableColumn id="12" xr3:uid="{D6E6700B-8B4F-4DB6-B97F-C6230D787612}" name="Negida Academy"/>
    <tableColumn id="4" xr3:uid="{E89D4E91-71EB-4521-ADF8-656EB50E196D}" name="Work &amp; Reading" dataDxfId="12"/>
    <tableColumn id="3" xr3:uid="{EC3532FD-4415-4C35-9DF2-C13F722CC57F}" name="Gym" dataDxfId="11"/>
    <tableColumn id="11" xr3:uid="{E6967D8B-4B0D-4835-B221-C5F958FC02D5}" name="Cut &amp; Hydration"/>
    <tableColumn id="2" xr3:uid="{AE74630B-BBC8-4E3D-BA96-AFA1A707E713}" name="30 min Cardio" dataDxfId="10"/>
    <tableColumn id="7" xr3:uid="{E18408E1-428D-437F-BA05-05E18C12F8E0}" name="quit scrolling" dataDxfId="9"/>
    <tableColumn id="8" xr3:uid="{3538973D-A185-4378-AB39-E1ACB7F018AE}" name="P" dataDxfId="8"/>
    <tableColumn id="14" xr3:uid="{F2EDD5F0-DCE8-4C3D-8305-5B0DA1F15D65}" name="RT" dataDxfId="7"/>
    <tableColumn id="5" xr3:uid="{4CA57A74-DCA2-4716-AD1D-7D903DE7BF98}" name="Results" dataDxfId="6"/>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21CA03-FAEE-4372-9B1F-E0B2AC01D339}" name="Table24" displayName="Table24" ref="B1:E2" totalsRowShown="0" headerRowDxfId="5" dataDxfId="4">
  <autoFilter ref="B1:E2" xr:uid="{7221CA03-FAEE-4372-9B1F-E0B2AC01D339}"/>
  <tableColumns count="4">
    <tableColumn id="6" xr3:uid="{ADE8F940-E4BA-45D8-A03E-CF9EAB524307}" name="School Studying (Hrs)" dataDxfId="3">
      <calculatedColumnFormula>SUM('Week 1:Total Progress'!B11)</calculatedColumnFormula>
    </tableColumn>
    <tableColumn id="4" xr3:uid="{D2A61E57-7BD7-490A-8AC1-4D6A43286B8E}" name="ACT Training (Hrs)" dataDxfId="2">
      <calculatedColumnFormula>SUM('Week 1:Total Progress'!C11)</calculatedColumnFormula>
    </tableColumn>
    <tableColumn id="3" xr3:uid="{3D7C6D36-52BF-4C6F-B3E9-C8B12C0665F8}" name="College Admissions (Hrs)" dataDxfId="1">
      <calculatedColumnFormula>SUM('Week 1:Total Progress'!D11)</calculatedColumnFormula>
    </tableColumn>
    <tableColumn id="2" xr3:uid="{CDA8BF26-26DD-44F1-A64F-16DCFB695D9C}" name="Problem Solving (Hrs)" dataDxfId="0">
      <calculatedColumnFormula>SUM('Week 1:Total Progress'!E11)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
  <sheetViews>
    <sheetView topLeftCell="Y1" zoomScale="98" zoomScaleNormal="190" workbookViewId="0">
      <selection activeCell="X4" sqref="X4"/>
    </sheetView>
  </sheetViews>
  <sheetFormatPr defaultRowHeight="15"/>
  <cols>
    <col min="1" max="1" width="15.7109375" customWidth="1"/>
    <col min="2" max="2" width="20" customWidth="1"/>
    <col min="3" max="6" width="18.85546875" customWidth="1"/>
    <col min="7" max="9" width="23.5703125" customWidth="1"/>
    <col min="10" max="10" width="15.7109375" customWidth="1"/>
    <col min="21" max="29" width="20.7109375" customWidth="1"/>
  </cols>
  <sheetData>
    <row r="1" spans="1:29" ht="21.75" customHeight="1">
      <c r="A1" s="19" t="s">
        <v>0</v>
      </c>
      <c r="B1" s="19"/>
      <c r="C1" s="19"/>
      <c r="D1" s="19"/>
      <c r="E1" s="19"/>
      <c r="F1" s="19"/>
      <c r="G1" s="19"/>
      <c r="H1" s="19"/>
      <c r="I1" s="19"/>
      <c r="J1" s="19"/>
      <c r="K1" s="17"/>
      <c r="U1" s="19" t="s">
        <v>1</v>
      </c>
      <c r="V1" s="19"/>
      <c r="W1" s="19"/>
      <c r="X1" s="19"/>
      <c r="Y1" s="19"/>
      <c r="Z1" s="19"/>
      <c r="AA1" s="19"/>
      <c r="AB1" s="19"/>
      <c r="AC1" s="19"/>
    </row>
    <row r="2" spans="1:29" ht="21.75" customHeight="1">
      <c r="A2" s="19"/>
      <c r="B2" s="19"/>
      <c r="C2" s="19"/>
      <c r="D2" s="19"/>
      <c r="E2" s="19"/>
      <c r="F2" s="19"/>
      <c r="G2" s="19"/>
      <c r="H2" s="19"/>
      <c r="I2" s="19"/>
      <c r="J2" s="19"/>
      <c r="K2" s="17"/>
      <c r="U2" s="19"/>
      <c r="V2" s="19"/>
      <c r="W2" s="19"/>
      <c r="X2" s="19"/>
      <c r="Y2" s="19"/>
      <c r="Z2" s="19"/>
      <c r="AA2" s="19"/>
      <c r="AB2" s="19"/>
      <c r="AC2" s="19"/>
    </row>
    <row r="3" spans="1:29" ht="21.75" customHeight="1">
      <c r="A3" s="1" t="s">
        <v>2</v>
      </c>
      <c r="B3" s="1" t="s">
        <v>3</v>
      </c>
      <c r="C3" s="1" t="s">
        <v>4</v>
      </c>
      <c r="D3" s="1" t="s">
        <v>5</v>
      </c>
      <c r="E3" s="1" t="s">
        <v>6</v>
      </c>
      <c r="F3" s="1" t="s">
        <v>7</v>
      </c>
      <c r="G3" s="1" t="s">
        <v>8</v>
      </c>
      <c r="H3" s="1" t="s">
        <v>9</v>
      </c>
      <c r="I3" s="1" t="s">
        <v>10</v>
      </c>
      <c r="J3" s="1" t="s">
        <v>11</v>
      </c>
      <c r="U3" s="1" t="s">
        <v>2</v>
      </c>
      <c r="V3" s="1" t="s">
        <v>12</v>
      </c>
      <c r="W3" s="1" t="s">
        <v>13</v>
      </c>
      <c r="X3" s="1" t="s">
        <v>14</v>
      </c>
      <c r="Y3" s="1" t="s">
        <v>15</v>
      </c>
      <c r="Z3" s="1" t="s">
        <v>16</v>
      </c>
      <c r="AA3" s="1" t="s">
        <v>17</v>
      </c>
      <c r="AB3" s="1" t="s">
        <v>10</v>
      </c>
      <c r="AC3" s="1" t="s">
        <v>11</v>
      </c>
    </row>
    <row r="4" spans="1:29" ht="21.75" customHeight="1">
      <c r="A4" s="2" t="s">
        <v>18</v>
      </c>
      <c r="B4" s="2">
        <v>0</v>
      </c>
      <c r="C4" s="2">
        <v>0</v>
      </c>
      <c r="D4" s="2">
        <v>0</v>
      </c>
      <c r="E4" s="2">
        <v>0</v>
      </c>
      <c r="F4" s="2">
        <v>0</v>
      </c>
      <c r="G4" s="2">
        <v>0</v>
      </c>
      <c r="H4" s="2">
        <v>0</v>
      </c>
      <c r="I4" s="2">
        <v>0</v>
      </c>
      <c r="J4" s="18" cm="1">
        <f t="array" ref="J4">SUM(Table2[[#This Row],[CS224n Project]:[Research Apps]]*10, Table2[[#This Row],[Studying]]*15, Table2[[#This Row],[Squash]]*15, Table2[[#This Row],[P]]*10, Table2[[#This Row],[gym]]*15)</f>
        <v>0</v>
      </c>
      <c r="T4" s="8">
        <v>46060</v>
      </c>
      <c r="U4" s="2" t="s">
        <v>18</v>
      </c>
      <c r="V4" s="2">
        <v>0</v>
      </c>
      <c r="W4" s="2">
        <v>0</v>
      </c>
      <c r="X4" s="2">
        <v>0</v>
      </c>
      <c r="Y4" s="2">
        <v>0</v>
      </c>
      <c r="Z4" s="2">
        <v>0</v>
      </c>
      <c r="AA4" s="2">
        <v>0</v>
      </c>
      <c r="AB4" s="2">
        <v>0</v>
      </c>
      <c r="AC4" s="18" cm="1">
        <f t="array" ref="AC4">SUM(Table26[[#This Row],[Endo]:[RBS]]*15, Table26[[#This Row],[Research]]*10,Table26[[#This Row],[Gym]]*15,Table26[[#This Row],[diet]]*15, Table26[[#This Row],[P]]*10)</f>
        <v>0</v>
      </c>
    </row>
    <row r="5" spans="1:29" ht="21.75" customHeight="1">
      <c r="A5" s="2" t="s">
        <v>19</v>
      </c>
      <c r="B5" s="2">
        <v>0</v>
      </c>
      <c r="C5" s="2">
        <v>0</v>
      </c>
      <c r="D5" s="2">
        <v>0</v>
      </c>
      <c r="E5" s="2">
        <v>0</v>
      </c>
      <c r="F5" s="2">
        <v>0</v>
      </c>
      <c r="G5" s="2">
        <v>0</v>
      </c>
      <c r="H5" s="2">
        <v>0</v>
      </c>
      <c r="I5" s="2">
        <v>0</v>
      </c>
      <c r="J5" s="18" cm="1">
        <f t="array" ref="J5">SUM(Table2[[#This Row],[CS224n Project]:[Research Apps]]*10, Table2[[#This Row],[Studying]]*15, Table2[[#This Row],[Squash]]*15, Table2[[#This Row],[P]]*10, Table2[[#This Row],[gym]]*15+Table2[[#This Row],[Recording]]*10)</f>
        <v>0</v>
      </c>
      <c r="T5" s="8">
        <v>46061</v>
      </c>
      <c r="U5" s="2" t="s">
        <v>19</v>
      </c>
      <c r="V5" s="2">
        <v>0</v>
      </c>
      <c r="W5" s="2">
        <v>0</v>
      </c>
      <c r="X5" s="2">
        <v>0</v>
      </c>
      <c r="Y5" s="2">
        <v>0</v>
      </c>
      <c r="Z5" s="2">
        <v>0</v>
      </c>
      <c r="AA5" s="2">
        <v>0</v>
      </c>
      <c r="AB5" s="2">
        <v>0</v>
      </c>
      <c r="AC5" s="18" cm="1">
        <f t="array" ref="AC5">SUM(Table26[[#This Row],[Endo]:[RBS]]*15, Table26[[#This Row],[Research]]*10,Table26[[#This Row],[Gym]]*15,Table26[[#This Row],[diet]]*15, Table26[[#This Row],[P]]*10)</f>
        <v>0</v>
      </c>
    </row>
    <row r="6" spans="1:29" ht="21.75" customHeight="1">
      <c r="A6" s="2" t="s">
        <v>20</v>
      </c>
      <c r="B6" s="2">
        <v>0</v>
      </c>
      <c r="C6" s="2">
        <v>0</v>
      </c>
      <c r="D6" s="2">
        <v>0</v>
      </c>
      <c r="E6" s="2">
        <v>0</v>
      </c>
      <c r="F6" s="2">
        <v>0</v>
      </c>
      <c r="G6" s="2">
        <v>0</v>
      </c>
      <c r="H6" s="2">
        <v>0</v>
      </c>
      <c r="I6" s="2">
        <v>0</v>
      </c>
      <c r="J6" s="18" cm="1">
        <f t="array" ref="J6">SUM(Table2[[#This Row],[CS224n Project]:[Research Apps]]*10, Table2[[#This Row],[Studying]]*15, Table2[[#This Row],[Squash]]*15, Table2[[#This Row],[P]]*10, Table2[[#This Row],[gym]]*15+Table2[[#This Row],[Recording]]*10)</f>
        <v>0</v>
      </c>
      <c r="T6" s="8">
        <v>46062</v>
      </c>
      <c r="U6" s="2" t="s">
        <v>20</v>
      </c>
      <c r="V6" s="2">
        <v>0</v>
      </c>
      <c r="W6" s="2">
        <v>0</v>
      </c>
      <c r="X6" s="2">
        <v>0</v>
      </c>
      <c r="Y6" s="2">
        <v>0</v>
      </c>
      <c r="Z6" s="2">
        <v>0</v>
      </c>
      <c r="AA6" s="2">
        <v>0</v>
      </c>
      <c r="AB6" s="2">
        <v>0</v>
      </c>
      <c r="AC6" s="18" cm="1">
        <f t="array" ref="AC6">SUM(Table26[[#This Row],[Endo]:[RBS]]*15, Table26[[#This Row],[Research]]*10,Table26[[#This Row],[Gym]]*15,Table26[[#This Row],[diet]]*15, Table26[[#This Row],[P]]*10)</f>
        <v>0</v>
      </c>
    </row>
    <row r="7" spans="1:29" ht="21.75" customHeight="1">
      <c r="A7" s="2" t="s">
        <v>21</v>
      </c>
      <c r="B7" s="2">
        <v>0</v>
      </c>
      <c r="C7" s="2">
        <v>0</v>
      </c>
      <c r="D7" s="2">
        <v>0</v>
      </c>
      <c r="E7" s="2">
        <v>0</v>
      </c>
      <c r="F7" s="2">
        <v>0</v>
      </c>
      <c r="G7" s="2">
        <v>0</v>
      </c>
      <c r="H7" s="2">
        <v>0</v>
      </c>
      <c r="I7" s="2">
        <v>0</v>
      </c>
      <c r="J7" s="18" cm="1">
        <f t="array" ref="J7">SUM(Table2[[#This Row],[CS224n Project]:[Research Apps]]*10, Table2[[#This Row],[Studying]]*15, Table2[[#This Row],[Squash]]*15, Table2[[#This Row],[P]]*10, Table2[[#This Row],[gym]]*15+Table2[[#This Row],[Recording]]*10)</f>
        <v>0</v>
      </c>
      <c r="T7" s="8">
        <v>46063</v>
      </c>
      <c r="U7" s="2" t="s">
        <v>21</v>
      </c>
      <c r="V7" s="2">
        <v>0</v>
      </c>
      <c r="W7" s="2">
        <v>0</v>
      </c>
      <c r="X7" s="2">
        <v>0</v>
      </c>
      <c r="Y7" s="2">
        <v>0</v>
      </c>
      <c r="Z7" s="2">
        <v>0</v>
      </c>
      <c r="AA7" s="2">
        <v>0</v>
      </c>
      <c r="AB7" s="2">
        <v>0</v>
      </c>
      <c r="AC7" s="18" cm="1">
        <f t="array" ref="AC7">SUM(Table26[[#This Row],[Endo]:[RBS]]*15, Table26[[#This Row],[Research]]*10,Table26[[#This Row],[Gym]]*15,Table26[[#This Row],[diet]]*15, Table26[[#This Row],[P]]*10)</f>
        <v>0</v>
      </c>
    </row>
    <row r="8" spans="1:29" ht="21.75" customHeight="1">
      <c r="A8" s="2" t="s">
        <v>22</v>
      </c>
      <c r="B8" s="2">
        <v>0</v>
      </c>
      <c r="C8" s="2">
        <v>0</v>
      </c>
      <c r="D8" s="2">
        <v>0</v>
      </c>
      <c r="E8" s="2">
        <v>0</v>
      </c>
      <c r="F8" s="2">
        <v>1</v>
      </c>
      <c r="G8" s="2">
        <v>1</v>
      </c>
      <c r="H8" s="2">
        <v>1</v>
      </c>
      <c r="I8" s="2">
        <v>1</v>
      </c>
      <c r="J8" s="18" cm="1">
        <f t="array" ref="J8">SUM(Table2[[#This Row],[CS224n Project]:[Research Apps]]*10, Table2[[#This Row],[Studying]]*15, Table2[[#This Row],[Squash]]*15, Table2[[#This Row],[P]]*10, Table2[[#This Row],[gym]]*15+Table2[[#This Row],[Recording]]*10)</f>
        <v>50</v>
      </c>
      <c r="T8" s="8">
        <v>46064</v>
      </c>
      <c r="U8" s="2" t="s">
        <v>22</v>
      </c>
      <c r="V8" s="2">
        <v>0.5</v>
      </c>
      <c r="W8" s="2">
        <v>0</v>
      </c>
      <c r="X8" s="2">
        <v>0</v>
      </c>
      <c r="Y8" s="2">
        <v>0</v>
      </c>
      <c r="Z8" s="2">
        <v>1</v>
      </c>
      <c r="AA8" s="2">
        <v>1</v>
      </c>
      <c r="AB8" s="2">
        <v>1</v>
      </c>
      <c r="AC8" s="18" cm="1">
        <f t="array" ref="AC8">SUM(Table26[[#This Row],[Endo]:[RBS]]*15, Table26[[#This Row],[Research]]*10,Table26[[#This Row],[Gym]]*15,Table26[[#This Row],[diet]]*15, Table26[[#This Row],[P]]*10)</f>
        <v>47.5</v>
      </c>
    </row>
    <row r="9" spans="1:29" ht="21.75" customHeight="1">
      <c r="A9" s="2" t="s">
        <v>23</v>
      </c>
      <c r="B9" s="2">
        <v>0</v>
      </c>
      <c r="C9" s="2">
        <v>2</v>
      </c>
      <c r="D9" s="2">
        <v>1</v>
      </c>
      <c r="E9" s="2">
        <v>0</v>
      </c>
      <c r="F9" s="2">
        <v>3</v>
      </c>
      <c r="G9" s="2">
        <v>0</v>
      </c>
      <c r="H9" s="2">
        <v>1</v>
      </c>
      <c r="I9" s="2">
        <v>1</v>
      </c>
      <c r="J9" s="18" cm="1">
        <f t="array" ref="J9">SUM(Table2[[#This Row],[CS224n Project]:[Research Apps]]*10, Table2[[#This Row],[Studying]]*15, Table2[[#This Row],[Squash]]*15, Table2[[#This Row],[P]]*10, Table2[[#This Row],[gym]]*15+Table2[[#This Row],[Recording]]*10)</f>
        <v>85</v>
      </c>
      <c r="T9" s="8">
        <v>46065</v>
      </c>
      <c r="U9" s="2" t="s">
        <v>23</v>
      </c>
      <c r="V9" s="2">
        <v>0</v>
      </c>
      <c r="W9" s="2">
        <v>0</v>
      </c>
      <c r="X9" s="2">
        <v>0</v>
      </c>
      <c r="Y9" s="2">
        <v>0</v>
      </c>
      <c r="Z9" s="2">
        <v>1</v>
      </c>
      <c r="AA9" s="2">
        <v>1</v>
      </c>
      <c r="AB9" s="2">
        <v>1</v>
      </c>
      <c r="AC9" s="18" cm="1">
        <f t="array" ref="AC9">SUM(Table26[[#This Row],[Endo]:[RBS]]*15, Table26[[#This Row],[Research]]*10,Table26[[#This Row],[Gym]]*15,Table26[[#This Row],[diet]]*15, Table26[[#This Row],[P]]*10)</f>
        <v>40</v>
      </c>
    </row>
    <row r="10" spans="1:29" ht="21.75" customHeight="1">
      <c r="A10" s="2" t="s">
        <v>24</v>
      </c>
      <c r="B10" s="2">
        <v>0</v>
      </c>
      <c r="C10" s="2">
        <v>2</v>
      </c>
      <c r="D10" s="2">
        <v>4</v>
      </c>
      <c r="E10" s="2">
        <v>1</v>
      </c>
      <c r="F10" s="2">
        <v>0</v>
      </c>
      <c r="G10" s="2">
        <v>0</v>
      </c>
      <c r="H10" s="2">
        <v>0</v>
      </c>
      <c r="I10" s="2">
        <v>1</v>
      </c>
      <c r="J10" s="18" cm="1">
        <f t="array" ref="J10">SUM(Table2[[#This Row],[CS224n Project]:[Research Apps]]*10, Table2[[#This Row],[Studying]]*15, Table2[[#This Row],[Squash]]*15, Table2[[#This Row],[P]]*10, Table2[[#This Row],[gym]]*15+Table2[[#This Row],[Recording]]*10)</f>
        <v>85</v>
      </c>
      <c r="T10" s="8">
        <v>46066</v>
      </c>
      <c r="U10" s="2" t="s">
        <v>24</v>
      </c>
      <c r="V10" s="2">
        <v>0</v>
      </c>
      <c r="W10" s="2">
        <v>0</v>
      </c>
      <c r="X10" s="9">
        <v>1.2</v>
      </c>
      <c r="Y10" s="2">
        <v>0</v>
      </c>
      <c r="Z10" s="2">
        <v>0</v>
      </c>
      <c r="AA10" s="2">
        <v>2</v>
      </c>
      <c r="AB10" s="2">
        <v>1</v>
      </c>
      <c r="AC10" s="18" cm="1">
        <f t="array" ref="AC10">SUM(Table26[[#This Row],[Endo]:[RBS]]*15, Table26[[#This Row],[Research]]*10,Table26[[#This Row],[Gym]]*15,Table26[[#This Row],[diet]]*15, Table26[[#This Row],[P]]*10)</f>
        <v>58</v>
      </c>
    </row>
    <row r="11" spans="1:29" ht="21.75" customHeight="1">
      <c r="A11" s="2" t="s">
        <v>25</v>
      </c>
      <c r="B11" s="3">
        <f>SUM(B4:B10)</f>
        <v>0</v>
      </c>
      <c r="C11" s="3">
        <f t="shared" ref="C11:I11" si="0">SUM(C4:C10)</f>
        <v>4</v>
      </c>
      <c r="D11" s="3">
        <f t="shared" si="0"/>
        <v>5</v>
      </c>
      <c r="E11" s="3">
        <f t="shared" si="0"/>
        <v>1</v>
      </c>
      <c r="F11" s="3">
        <f t="shared" si="0"/>
        <v>4</v>
      </c>
      <c r="G11" s="3">
        <f t="shared" si="0"/>
        <v>1</v>
      </c>
      <c r="H11" s="3">
        <f t="shared" si="0"/>
        <v>2</v>
      </c>
      <c r="I11" s="3">
        <f t="shared" si="0"/>
        <v>3</v>
      </c>
      <c r="J11" s="18">
        <f>ROUND(SUM(J4:J10)/7, 0)</f>
        <v>31</v>
      </c>
      <c r="U11" s="2" t="s">
        <v>25</v>
      </c>
      <c r="V11" s="3">
        <f t="shared" ref="V11:W11" si="1">SUM(V4:V10)</f>
        <v>0.5</v>
      </c>
      <c r="W11" s="3">
        <f t="shared" si="1"/>
        <v>0</v>
      </c>
      <c r="X11" s="3">
        <f>SUM(X4:X10)</f>
        <v>1.2</v>
      </c>
      <c r="Y11" s="3">
        <f t="shared" ref="Y11:AB11" si="2">SUM(Y4:Y10)</f>
        <v>0</v>
      </c>
      <c r="Z11" s="3">
        <f t="shared" si="2"/>
        <v>2</v>
      </c>
      <c r="AA11" s="3">
        <f t="shared" si="2"/>
        <v>4</v>
      </c>
      <c r="AB11" s="3">
        <f t="shared" si="2"/>
        <v>3</v>
      </c>
      <c r="AC11" s="18">
        <f>ROUND(SUM(AC4:AC10)/7,0)</f>
        <v>21</v>
      </c>
    </row>
    <row r="12" spans="1:29">
      <c r="A12" s="19" t="s">
        <v>26</v>
      </c>
      <c r="B12" s="19"/>
      <c r="C12" s="19"/>
      <c r="D12" s="19"/>
      <c r="E12" s="19"/>
      <c r="F12" s="19"/>
      <c r="G12" s="19"/>
      <c r="H12" s="19"/>
      <c r="I12" s="19"/>
      <c r="J12" s="19"/>
    </row>
    <row r="13" spans="1:29">
      <c r="A13" s="19"/>
      <c r="B13" s="19"/>
      <c r="C13" s="19"/>
      <c r="D13" s="19"/>
      <c r="E13" s="19"/>
      <c r="F13" s="19"/>
      <c r="G13" s="19"/>
      <c r="H13" s="19"/>
      <c r="I13" s="19"/>
      <c r="J13" s="19"/>
    </row>
    <row r="14" spans="1:29">
      <c r="A14" s="22"/>
      <c r="B14" s="22"/>
      <c r="C14" s="22"/>
      <c r="D14" s="22"/>
      <c r="E14" s="22"/>
      <c r="F14" s="22"/>
      <c r="G14" s="22"/>
      <c r="H14" s="22"/>
      <c r="I14" s="22"/>
      <c r="J14" s="22"/>
      <c r="K14" s="22"/>
    </row>
    <row r="15" spans="1:29">
      <c r="A15" s="22"/>
      <c r="B15" s="22"/>
      <c r="C15" s="22"/>
      <c r="D15" s="22"/>
      <c r="E15" s="22"/>
      <c r="F15" s="22"/>
      <c r="G15" s="22"/>
      <c r="H15" s="22"/>
      <c r="I15" s="22"/>
      <c r="J15" s="22"/>
      <c r="K15" s="22"/>
    </row>
    <row r="16" spans="1:29">
      <c r="A16" s="22"/>
      <c r="B16" s="22"/>
      <c r="C16" s="22"/>
      <c r="D16" s="22"/>
      <c r="E16" s="22"/>
      <c r="F16" s="22"/>
      <c r="G16" s="22"/>
      <c r="H16" s="22"/>
      <c r="I16" s="22"/>
      <c r="J16" s="22"/>
      <c r="K16" s="22"/>
    </row>
    <row r="17" spans="1:11">
      <c r="A17" s="22"/>
      <c r="B17" s="22"/>
      <c r="C17" s="22"/>
      <c r="D17" s="22"/>
      <c r="E17" s="22"/>
      <c r="F17" s="22"/>
      <c r="G17" s="22"/>
      <c r="H17" s="22"/>
      <c r="I17" s="22"/>
      <c r="J17" s="22"/>
      <c r="K17" s="22"/>
    </row>
    <row r="18" spans="1:11" ht="98.25" customHeight="1">
      <c r="B18" s="7"/>
    </row>
  </sheetData>
  <mergeCells count="7">
    <mergeCell ref="A14:K17"/>
    <mergeCell ref="B12:J13"/>
    <mergeCell ref="U1:U2"/>
    <mergeCell ref="V1:AC2"/>
    <mergeCell ref="A1:A2"/>
    <mergeCell ref="A12:A13"/>
    <mergeCell ref="B1:J2"/>
  </mergeCells>
  <phoneticPr fontId="3" type="noConversion"/>
  <conditionalFormatting sqref="B4:I10">
    <cfRule type="colorScale" priority="8">
      <colorScale>
        <cfvo type="num" val="0"/>
        <cfvo type="percentile" val="50"/>
        <cfvo type="num" val="4"/>
        <color theme="7" tint="0.79998168889431442"/>
        <color theme="9" tint="0.39997558519241921"/>
        <color theme="9" tint="-0.249977111117893"/>
      </colorScale>
    </cfRule>
  </conditionalFormatting>
  <conditionalFormatting sqref="B4:I11">
    <cfRule type="colorScale" priority="11">
      <colorScale>
        <cfvo type="num" val="0"/>
        <cfvo type="percentile" val="50"/>
        <cfvo type="num" val="100"/>
        <color theme="7" tint="0.79998168889431442"/>
        <color theme="9" tint="0.39997558519241921"/>
        <color theme="9" tint="-0.499984740745262"/>
      </colorScale>
    </cfRule>
  </conditionalFormatting>
  <conditionalFormatting sqref="B11:I11">
    <cfRule type="colorScale" priority="6">
      <colorScale>
        <cfvo type="num" val="0"/>
        <cfvo type="percentile" val="50"/>
        <cfvo type="num" val="15"/>
        <color theme="7" tint="0.79998168889431442"/>
        <color theme="9" tint="0.59999389629810485"/>
        <color theme="9"/>
      </colorScale>
    </cfRule>
  </conditionalFormatting>
  <conditionalFormatting sqref="J4:J11">
    <cfRule type="colorScale" priority="7">
      <colorScale>
        <cfvo type="num" val="0"/>
        <cfvo type="percentile" val="50"/>
        <cfvo type="num" val="100"/>
        <color theme="7" tint="0.79998168889431442"/>
        <color theme="9" tint="0.79998168889431442"/>
        <color theme="9"/>
      </colorScale>
    </cfRule>
    <cfRule type="colorScale" priority="10">
      <colorScale>
        <cfvo type="num" val="0"/>
        <cfvo type="num" val="100"/>
        <color theme="7" tint="0.79998168889431442"/>
        <color theme="9" tint="-0.249977111117893"/>
      </colorScale>
    </cfRule>
  </conditionalFormatting>
  <conditionalFormatting sqref="L6">
    <cfRule type="iconSet" priority="13">
      <iconSet iconSet="5Quarters">
        <cfvo type="percent" val="0"/>
        <cfvo type="percent" val="20"/>
        <cfvo type="percent" val="40"/>
        <cfvo type="percent" val="60"/>
        <cfvo type="percent" val="80"/>
      </iconSet>
    </cfRule>
  </conditionalFormatting>
  <conditionalFormatting sqref="V4:AB10">
    <cfRule type="colorScale" priority="3">
      <colorScale>
        <cfvo type="num" val="0"/>
        <cfvo type="percentile" val="50"/>
        <cfvo type="num" val="4"/>
        <color theme="7" tint="0.79998168889431442"/>
        <color theme="9" tint="0.39997558519241921"/>
        <color theme="9" tint="-0.249977111117893"/>
      </colorScale>
    </cfRule>
  </conditionalFormatting>
  <conditionalFormatting sqref="V4:AB11">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V11:AB11">
    <cfRule type="colorScale" priority="1">
      <colorScale>
        <cfvo type="num" val="0"/>
        <cfvo type="percentile" val="50"/>
        <cfvo type="num" val="15"/>
        <color theme="7" tint="0.79998168889431442"/>
        <color theme="9" tint="0.59999389629810485"/>
        <color theme="9"/>
      </colorScale>
    </cfRule>
  </conditionalFormatting>
  <conditionalFormatting sqref="AC4:AC11">
    <cfRule type="colorScale" priority="2">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8CC5-3732-43E9-8172-E227B3F0FD77}">
  <dimension ref="A1:W22"/>
  <sheetViews>
    <sheetView topLeftCell="F1" zoomScale="101" zoomScaleNormal="220" workbookViewId="0">
      <selection activeCell="L6" sqref="L6"/>
    </sheetView>
  </sheetViews>
  <sheetFormatPr defaultRowHeight="15"/>
  <cols>
    <col min="1" max="13" width="17.7109375" customWidth="1"/>
    <col min="14" max="23" width="20.7109375" customWidth="1"/>
  </cols>
  <sheetData>
    <row r="1" spans="1:23" ht="24.95" customHeight="1">
      <c r="A1" s="19" t="s">
        <v>0</v>
      </c>
      <c r="B1" s="19"/>
      <c r="C1" s="19"/>
      <c r="D1" s="19"/>
      <c r="E1" s="19"/>
      <c r="F1" s="19"/>
      <c r="G1" s="19"/>
      <c r="H1" s="19"/>
      <c r="I1" s="19"/>
      <c r="J1" s="19"/>
      <c r="K1" s="19"/>
      <c r="L1" s="19"/>
      <c r="M1" s="19"/>
      <c r="O1" s="19" t="s">
        <v>1</v>
      </c>
      <c r="P1" s="17"/>
      <c r="Q1" s="17"/>
      <c r="R1" s="17"/>
      <c r="S1" s="17"/>
      <c r="T1" s="17"/>
      <c r="U1" s="17"/>
      <c r="V1" s="17"/>
    </row>
    <row r="2" spans="1:23" ht="24.95" customHeight="1">
      <c r="A2" s="19"/>
      <c r="B2" s="19"/>
      <c r="C2" s="19"/>
      <c r="D2" s="19"/>
      <c r="E2" s="19"/>
      <c r="F2" s="19"/>
      <c r="G2" s="19"/>
      <c r="H2" s="19"/>
      <c r="I2" s="19"/>
      <c r="J2" s="19"/>
      <c r="K2" s="19"/>
      <c r="L2" s="19"/>
      <c r="M2" s="19"/>
      <c r="O2" s="19"/>
      <c r="P2" s="17"/>
      <c r="Q2" s="17"/>
      <c r="R2" s="17"/>
      <c r="S2" s="17"/>
      <c r="T2" s="17"/>
      <c r="U2" s="17"/>
      <c r="V2" s="17"/>
    </row>
    <row r="3" spans="1:23" ht="51" customHeight="1">
      <c r="A3" s="1" t="s">
        <v>2</v>
      </c>
      <c r="B3" s="10" t="s">
        <v>27</v>
      </c>
      <c r="C3" s="10" t="s">
        <v>28</v>
      </c>
      <c r="D3" s="1" t="s">
        <v>4</v>
      </c>
      <c r="E3" s="1" t="s">
        <v>29</v>
      </c>
      <c r="F3" s="1" t="s">
        <v>5</v>
      </c>
      <c r="G3" s="1" t="s">
        <v>6</v>
      </c>
      <c r="H3" s="1" t="s">
        <v>7</v>
      </c>
      <c r="I3" s="1" t="s">
        <v>30</v>
      </c>
      <c r="J3" s="1" t="s">
        <v>9</v>
      </c>
      <c r="K3" s="10" t="s">
        <v>31</v>
      </c>
      <c r="L3" s="1" t="s">
        <v>10</v>
      </c>
      <c r="M3" s="1" t="s">
        <v>11</v>
      </c>
      <c r="O3" s="1" t="s">
        <v>2</v>
      </c>
      <c r="P3" s="1" t="s">
        <v>12</v>
      </c>
      <c r="Q3" s="1" t="s">
        <v>32</v>
      </c>
      <c r="R3" s="1" t="s">
        <v>14</v>
      </c>
      <c r="S3" s="1" t="s">
        <v>33</v>
      </c>
      <c r="T3" s="1" t="s">
        <v>16</v>
      </c>
      <c r="U3" s="1" t="s">
        <v>17</v>
      </c>
      <c r="V3" s="1" t="s">
        <v>10</v>
      </c>
      <c r="W3" s="1" t="s">
        <v>11</v>
      </c>
    </row>
    <row r="4" spans="1:23" ht="24.95" customHeight="1">
      <c r="A4" s="2" t="s">
        <v>18</v>
      </c>
      <c r="B4" s="2">
        <v>0</v>
      </c>
      <c r="C4" s="2">
        <v>0</v>
      </c>
      <c r="D4" s="2">
        <v>0</v>
      </c>
      <c r="E4" s="2">
        <v>12</v>
      </c>
      <c r="F4" s="2">
        <v>0</v>
      </c>
      <c r="G4" s="2">
        <v>0</v>
      </c>
      <c r="H4" s="2">
        <v>0</v>
      </c>
      <c r="I4" s="2">
        <v>0</v>
      </c>
      <c r="J4" s="2">
        <v>0</v>
      </c>
      <c r="K4" s="2">
        <v>0</v>
      </c>
      <c r="L4" s="2">
        <v>1</v>
      </c>
      <c r="M4" s="18" cm="1">
        <f t="array" ref="M4">SUM(Table21414[[#This Row],[CS224n Project &amp;
Assignments]:[Research Apps]]*10, Table21414[[#This Row],[Studying]]*15, Table21414[[#This Row],[Wake up at 10:30
sleep at 2]]*15, Table21414[[#This Row],[P]]*10, Table21414[[#This Row],[gym ]]*15+Table21414[[#This Row],[Recording]]*10, Table21414[[#This Row],[Squash]]*15)</f>
        <v>130</v>
      </c>
      <c r="N4" s="8">
        <v>46067</v>
      </c>
      <c r="O4" s="2" t="s">
        <v>18</v>
      </c>
      <c r="P4" s="2">
        <v>0</v>
      </c>
      <c r="Q4" s="2">
        <v>0</v>
      </c>
      <c r="R4" s="2">
        <v>0</v>
      </c>
      <c r="S4" s="2">
        <v>0</v>
      </c>
      <c r="T4" s="2">
        <v>0</v>
      </c>
      <c r="U4" s="2">
        <v>1</v>
      </c>
      <c r="V4" s="2">
        <v>1</v>
      </c>
      <c r="W4" s="18" cm="1">
        <f t="array" ref="W4">SUM(Table2613[[#This Row],[Endo]:[RBS]]*15, Table2613[[#This Row],[Work ]]*10,Table2613[[#This Row],[Gym]]*15,Table2613[[#This Row],[diet]]*15, Table2613[[#This Row],[P]]*15)</f>
        <v>30</v>
      </c>
    </row>
    <row r="5" spans="1:23" ht="24.95" customHeight="1">
      <c r="A5" s="2" t="s">
        <v>19</v>
      </c>
      <c r="B5" s="2">
        <v>0</v>
      </c>
      <c r="C5" s="2">
        <v>0</v>
      </c>
      <c r="D5" s="2">
        <v>0</v>
      </c>
      <c r="E5" s="2">
        <v>4</v>
      </c>
      <c r="F5" s="2">
        <v>0</v>
      </c>
      <c r="G5" s="2">
        <v>0</v>
      </c>
      <c r="H5" s="2">
        <v>0</v>
      </c>
      <c r="I5" s="2">
        <v>1</v>
      </c>
      <c r="J5" s="2">
        <v>0</v>
      </c>
      <c r="K5" s="2">
        <v>0</v>
      </c>
      <c r="L5" s="2">
        <v>1</v>
      </c>
      <c r="M5" s="18" cm="1">
        <f t="array" ref="M5">SUM(Table21414[[#This Row],[CS224n Project &amp;
Assignments]:[Research Apps]]*10, Table21414[[#This Row],[Studying]]*15, Table21414[[#This Row],[Wake up at 10:30
sleep at 2]]*15, Table21414[[#This Row],[P]]*10, Table21414[[#This Row],[gym ]]*15+Table21414[[#This Row],[Recording]]*10, Table21414[[#This Row],[Squash]]*15)</f>
        <v>65</v>
      </c>
      <c r="N5" s="8">
        <v>46068</v>
      </c>
      <c r="O5" s="2" t="s">
        <v>19</v>
      </c>
      <c r="P5" s="2">
        <v>0.5</v>
      </c>
      <c r="Q5" s="2">
        <v>0</v>
      </c>
      <c r="R5" s="2">
        <v>0</v>
      </c>
      <c r="S5" s="2">
        <v>0</v>
      </c>
      <c r="T5" s="2">
        <v>1</v>
      </c>
      <c r="U5" s="2">
        <v>1</v>
      </c>
      <c r="V5" s="2">
        <v>1</v>
      </c>
      <c r="W5" s="18" cm="1">
        <f t="array" ref="W5">SUM(Table2613[[#This Row],[Endo]:[RBS]]*15, Table2613[[#This Row],[Work ]]*10,Table2613[[#This Row],[Gym]]*15,Table2613[[#This Row],[diet]]*15, Table2613[[#This Row],[P]]*15)</f>
        <v>52.5</v>
      </c>
    </row>
    <row r="6" spans="1:23" ht="24.95" customHeight="1">
      <c r="A6" s="2" t="s">
        <v>20</v>
      </c>
      <c r="B6" s="2">
        <v>0</v>
      </c>
      <c r="C6" s="2">
        <v>0</v>
      </c>
      <c r="D6" s="2">
        <v>0</v>
      </c>
      <c r="E6" s="2">
        <v>0</v>
      </c>
      <c r="F6" s="2">
        <v>1</v>
      </c>
      <c r="G6" s="2">
        <v>0</v>
      </c>
      <c r="H6" s="2">
        <v>0</v>
      </c>
      <c r="I6" s="2">
        <v>1</v>
      </c>
      <c r="J6" s="2">
        <v>0</v>
      </c>
      <c r="K6" s="2">
        <v>0</v>
      </c>
      <c r="L6" s="2">
        <v>0</v>
      </c>
      <c r="M6" s="18" cm="1">
        <f t="array" ref="M6">SUM(Table21414[[#This Row],[CS224n Project &amp;
Assignments]:[Research Apps]]*10, Table21414[[#This Row],[Studying]]*15, Table21414[[#This Row],[Wake up at 10:30
sleep at 2]]*15, Table21414[[#This Row],[P]]*10, Table21414[[#This Row],[gym ]]*15+Table21414[[#This Row],[Recording]]*10, Table21414[[#This Row],[Squash]]*15)</f>
        <v>25</v>
      </c>
      <c r="N6" s="8">
        <v>46069</v>
      </c>
      <c r="O6" s="2" t="s">
        <v>20</v>
      </c>
      <c r="P6" s="2">
        <v>0</v>
      </c>
      <c r="Q6" s="2">
        <v>0</v>
      </c>
      <c r="R6" s="2">
        <v>0</v>
      </c>
      <c r="S6" s="2">
        <v>1</v>
      </c>
      <c r="T6" s="2">
        <v>1</v>
      </c>
      <c r="U6" s="2">
        <v>1</v>
      </c>
      <c r="V6" s="2">
        <v>1</v>
      </c>
      <c r="W6" s="18" cm="1">
        <f t="array" ref="W6">SUM(Table2613[[#This Row],[Endo]:[RBS]]*15, Table2613[[#This Row],[Work ]]*10,Table2613[[#This Row],[Gym]]*15,Table2613[[#This Row],[diet]]*15, Table2613[[#This Row],[P]]*15)</f>
        <v>55</v>
      </c>
    </row>
    <row r="7" spans="1:23" ht="24.95" customHeight="1">
      <c r="A7" s="2" t="s">
        <v>21</v>
      </c>
      <c r="B7" s="2">
        <v>0</v>
      </c>
      <c r="C7" s="2">
        <v>0</v>
      </c>
      <c r="D7" s="2">
        <v>1.5</v>
      </c>
      <c r="E7" s="2">
        <v>0</v>
      </c>
      <c r="F7" s="2">
        <v>0</v>
      </c>
      <c r="G7" s="2">
        <v>1</v>
      </c>
      <c r="H7" s="2">
        <v>1.3</v>
      </c>
      <c r="I7" s="2">
        <v>0</v>
      </c>
      <c r="J7" s="2">
        <v>0</v>
      </c>
      <c r="K7" s="2">
        <v>0</v>
      </c>
      <c r="L7" s="2">
        <v>1</v>
      </c>
      <c r="M7" s="18" cm="1">
        <f t="array" ref="M7">SUM(Table21414[[#This Row],[CS224n Project &amp;
Assignments]:[Research Apps]]*10, Table21414[[#This Row],[Studying]]*15, Table21414[[#This Row],[Wake up at 10:30
sleep at 2]]*15, Table21414[[#This Row],[P]]*10, Table21414[[#This Row],[gym ]]*15+Table21414[[#This Row],[Recording]]*10, Table21414[[#This Row],[Squash]]*15)</f>
        <v>53</v>
      </c>
      <c r="N7" s="8">
        <v>46070</v>
      </c>
      <c r="O7" s="2" t="s">
        <v>21</v>
      </c>
      <c r="P7" s="2">
        <v>0</v>
      </c>
      <c r="Q7" s="2">
        <v>0</v>
      </c>
      <c r="R7" s="2">
        <v>0</v>
      </c>
      <c r="S7" s="2">
        <v>0</v>
      </c>
      <c r="T7" s="2">
        <v>0</v>
      </c>
      <c r="U7" s="2">
        <v>0</v>
      </c>
      <c r="V7" s="2">
        <v>0</v>
      </c>
      <c r="W7" s="18" cm="1">
        <f t="array" ref="W7">SUM(Table2613[[#This Row],[Endo]:[RBS]]*15, Table2613[[#This Row],[Work ]]*10,Table2613[[#This Row],[Gym]]*15,Table2613[[#This Row],[diet]]*15, Table2613[[#This Row],[P]]*15)</f>
        <v>0</v>
      </c>
    </row>
    <row r="8" spans="1:23" ht="24.95" customHeight="1">
      <c r="A8" s="2" t="s">
        <v>22</v>
      </c>
      <c r="B8" s="2">
        <v>1.5</v>
      </c>
      <c r="C8" s="2">
        <v>0</v>
      </c>
      <c r="D8" s="2">
        <v>2</v>
      </c>
      <c r="E8" s="2">
        <v>0</v>
      </c>
      <c r="F8" s="2">
        <v>0</v>
      </c>
      <c r="G8" s="2">
        <v>0.75</v>
      </c>
      <c r="H8" s="2">
        <v>1.2</v>
      </c>
      <c r="I8" s="2">
        <v>0</v>
      </c>
      <c r="J8" s="2">
        <v>1</v>
      </c>
      <c r="K8" s="2">
        <v>1</v>
      </c>
      <c r="L8" s="2">
        <v>0</v>
      </c>
      <c r="M8" s="18" cm="1">
        <f t="array" ref="M8">SUM(Table21414[[#This Row],[CS224n Project &amp;
Assignments]:[Research Apps]]*10, Table21414[[#This Row],[Studying]]*15, Table21414[[#This Row],[Wake up at 10:30
sleep at 2]]*15, Table21414[[#This Row],[P]]*10, Table21414[[#This Row],[gym ]]*15+Table21414[[#This Row],[Recording]]*10, Table21414[[#This Row],[Squash]]*15)</f>
        <v>88.25</v>
      </c>
      <c r="N8" s="8">
        <v>46071</v>
      </c>
      <c r="O8" s="2" t="s">
        <v>22</v>
      </c>
      <c r="P8" s="2">
        <v>0</v>
      </c>
      <c r="Q8" s="2">
        <v>0</v>
      </c>
      <c r="R8" s="2">
        <v>0</v>
      </c>
      <c r="S8" s="2">
        <v>0</v>
      </c>
      <c r="T8" s="2">
        <v>0</v>
      </c>
      <c r="U8" s="2">
        <v>0</v>
      </c>
      <c r="V8" s="2">
        <v>1</v>
      </c>
      <c r="W8" s="18" cm="1">
        <f t="array" ref="W8">SUM(Table2613[[#This Row],[Endo]:[RBS]]*15, Table2613[[#This Row],[Work ]]*10,Table2613[[#This Row],[Gym]]*15,Table2613[[#This Row],[diet]]*15, Table2613[[#This Row],[P]]*15)</f>
        <v>15</v>
      </c>
    </row>
    <row r="9" spans="1:23" ht="24.95" customHeight="1">
      <c r="A9" s="2" t="s">
        <v>23</v>
      </c>
      <c r="B9" s="2">
        <v>1.7</v>
      </c>
      <c r="C9" s="2">
        <v>0</v>
      </c>
      <c r="D9" s="2">
        <v>0</v>
      </c>
      <c r="E9" s="2">
        <v>0</v>
      </c>
      <c r="F9" s="2">
        <v>0</v>
      </c>
      <c r="G9" s="2">
        <v>0</v>
      </c>
      <c r="H9" s="2">
        <v>3</v>
      </c>
      <c r="I9" s="2">
        <v>0</v>
      </c>
      <c r="J9" s="2">
        <v>0</v>
      </c>
      <c r="K9" s="2">
        <v>1</v>
      </c>
      <c r="L9" s="2">
        <v>1</v>
      </c>
      <c r="M9" s="18" cm="1">
        <f t="array" ref="M9">SUM(Table21414[[#This Row],[CS224n Project &amp;
Assignments]:[Research Apps]]*10, Table21414[[#This Row],[Studying]]*15, Table21414[[#This Row],[Wake up at 10:30
sleep at 2]]*15, Table21414[[#This Row],[P]]*10, Table21414[[#This Row],[gym ]]*15+Table21414[[#This Row],[Recording]]*10, Table21414[[#This Row],[Squash]]*15)</f>
        <v>72</v>
      </c>
      <c r="N9" s="8">
        <v>46072</v>
      </c>
      <c r="O9" s="2" t="s">
        <v>23</v>
      </c>
      <c r="P9" s="2">
        <v>0</v>
      </c>
      <c r="Q9" s="2">
        <v>0</v>
      </c>
      <c r="R9" s="2">
        <v>0</v>
      </c>
      <c r="S9" s="2">
        <v>2</v>
      </c>
      <c r="T9" s="2">
        <v>0</v>
      </c>
      <c r="U9" s="2">
        <v>0</v>
      </c>
      <c r="V9" s="2">
        <v>1</v>
      </c>
      <c r="W9" s="18" cm="1">
        <f t="array" ref="W9">SUM(Table2613[[#This Row],[Endo]:[RBS]]*15, Table2613[[#This Row],[Work ]]*10,Table2613[[#This Row],[Gym]]*15,Table2613[[#This Row],[diet]]*15, Table2613[[#This Row],[P]]*15)</f>
        <v>35</v>
      </c>
    </row>
    <row r="10" spans="1:23" ht="24.95" customHeight="1">
      <c r="A10" s="2" t="s">
        <v>24</v>
      </c>
      <c r="B10" s="2">
        <v>3.25</v>
      </c>
      <c r="C10" s="2">
        <v>0.5</v>
      </c>
      <c r="D10" s="2">
        <v>2</v>
      </c>
      <c r="E10" s="2">
        <v>0</v>
      </c>
      <c r="F10" s="2">
        <v>0</v>
      </c>
      <c r="G10" s="2">
        <v>0</v>
      </c>
      <c r="H10" s="2">
        <v>0</v>
      </c>
      <c r="I10" s="2">
        <v>1</v>
      </c>
      <c r="J10" s="2">
        <v>0.5</v>
      </c>
      <c r="K10" s="2">
        <v>1</v>
      </c>
      <c r="L10" s="2">
        <v>0</v>
      </c>
      <c r="M10" s="18" cm="1">
        <f t="array" ref="M10">SUM(Table21414[[#This Row],[CS224n Project &amp;
Assignments]:[Research Apps]]*10, Table21414[[#This Row],[Studying]]*15, Table21414[[#This Row],[Wake up at 10:30
sleep at 2]]*15, Table21414[[#This Row],[P]]*10, Table21414[[#This Row],[gym ]]*15+Table21414[[#This Row],[Recording]]*10, Table21414[[#This Row],[Squash]]*15)</f>
        <v>95</v>
      </c>
      <c r="N10" s="8">
        <v>46073</v>
      </c>
      <c r="O10" s="2" t="s">
        <v>24</v>
      </c>
      <c r="P10" s="2">
        <v>0</v>
      </c>
      <c r="Q10" s="2">
        <v>0</v>
      </c>
      <c r="R10" s="2">
        <v>0</v>
      </c>
      <c r="S10" s="2">
        <v>2</v>
      </c>
      <c r="T10" s="2">
        <v>1</v>
      </c>
      <c r="U10" s="2">
        <v>1</v>
      </c>
      <c r="V10" s="2">
        <v>1</v>
      </c>
      <c r="W10" s="18" cm="1">
        <f t="array" ref="W10">SUM(Table2613[[#This Row],[Endo]:[RBS]]*15, Table2613[[#This Row],[Work ]]*10,Table2613[[#This Row],[Gym]]*15,Table2613[[#This Row],[diet]]*15, Table2613[[#This Row],[P]]*15)</f>
        <v>65</v>
      </c>
    </row>
    <row r="11" spans="1:23" ht="24.95" customHeight="1">
      <c r="A11" s="2" t="s">
        <v>25</v>
      </c>
      <c r="B11" s="3">
        <f>SUM(B4:B10)</f>
        <v>6.45</v>
      </c>
      <c r="C11" s="3">
        <f>SUM(C4:C10)</f>
        <v>0.5</v>
      </c>
      <c r="D11" s="3">
        <f t="shared" ref="D11:L11" si="0">SUM(D4:D10)</f>
        <v>5.5</v>
      </c>
      <c r="E11" s="3">
        <f t="shared" si="0"/>
        <v>16</v>
      </c>
      <c r="F11" s="3">
        <f t="shared" si="0"/>
        <v>1</v>
      </c>
      <c r="G11" s="3">
        <f>SUM(G4:G10)</f>
        <v>1.75</v>
      </c>
      <c r="H11" s="3">
        <f>SUM(H4:H10)</f>
        <v>5.5</v>
      </c>
      <c r="I11" s="3">
        <f t="shared" ref="I11:J11" si="1">SUM(I4:I10)</f>
        <v>3</v>
      </c>
      <c r="J11" s="3">
        <f t="shared" si="1"/>
        <v>1.5</v>
      </c>
      <c r="K11" s="3">
        <f t="shared" si="0"/>
        <v>3</v>
      </c>
      <c r="L11" s="3">
        <f t="shared" si="0"/>
        <v>4</v>
      </c>
      <c r="M11" s="18">
        <f>ROUND(SUM(M4:M10)/7, 0)</f>
        <v>75</v>
      </c>
      <c r="O11" s="2" t="s">
        <v>25</v>
      </c>
      <c r="P11" s="3">
        <f t="shared" ref="P11:Q11" si="2">SUM(P4:P10)</f>
        <v>0.5</v>
      </c>
      <c r="Q11" s="3">
        <f t="shared" si="2"/>
        <v>0</v>
      </c>
      <c r="R11" s="3">
        <f>SUM(R4:R10)</f>
        <v>0</v>
      </c>
      <c r="S11" s="3">
        <f t="shared" ref="S11:V11" si="3">SUM(S4:S10)</f>
        <v>5</v>
      </c>
      <c r="T11" s="3">
        <f t="shared" si="3"/>
        <v>3</v>
      </c>
      <c r="U11" s="3">
        <f t="shared" si="3"/>
        <v>4</v>
      </c>
      <c r="V11" s="3">
        <f t="shared" si="3"/>
        <v>6</v>
      </c>
      <c r="W11" s="18">
        <f>ROUND(SUM(W4:W10)/7,0)</f>
        <v>36</v>
      </c>
    </row>
    <row r="12" spans="1:23" ht="24.95" customHeight="1">
      <c r="A12" s="19" t="s">
        <v>26</v>
      </c>
      <c r="B12" s="23" t="s">
        <v>34</v>
      </c>
      <c r="C12" s="23"/>
      <c r="D12" s="23"/>
      <c r="E12" s="23"/>
      <c r="F12" s="23"/>
      <c r="G12" s="23"/>
      <c r="H12" s="23"/>
      <c r="I12" s="23"/>
      <c r="J12" s="23"/>
      <c r="K12" s="23"/>
      <c r="L12" s="23"/>
      <c r="M12" s="23"/>
    </row>
    <row r="13" spans="1:23" ht="76.5" customHeight="1">
      <c r="A13" s="19"/>
      <c r="B13" s="23"/>
      <c r="C13" s="23"/>
      <c r="D13" s="23"/>
      <c r="E13" s="23"/>
      <c r="F13" s="23"/>
      <c r="G13" s="23"/>
      <c r="H13" s="23"/>
      <c r="I13" s="23"/>
      <c r="J13" s="23"/>
      <c r="K13" s="23"/>
      <c r="L13" s="23"/>
      <c r="M13" s="23"/>
    </row>
    <row r="14" spans="1:23" ht="20.100000000000001" customHeight="1">
      <c r="P14" s="1" t="s">
        <v>2</v>
      </c>
      <c r="Q14" s="1" t="s">
        <v>35</v>
      </c>
      <c r="R14" s="1" t="s">
        <v>36</v>
      </c>
      <c r="S14" s="1" t="s">
        <v>37</v>
      </c>
      <c r="T14" s="1" t="s">
        <v>38</v>
      </c>
      <c r="U14" s="1" t="s">
        <v>39</v>
      </c>
      <c r="V14" s="1" t="s">
        <v>11</v>
      </c>
    </row>
    <row r="15" spans="1:23" ht="20.100000000000001" customHeight="1">
      <c r="P15" s="2" t="s">
        <v>18</v>
      </c>
      <c r="Q15" s="2">
        <v>0</v>
      </c>
      <c r="R15" s="2">
        <v>0</v>
      </c>
      <c r="S15" s="2">
        <v>0</v>
      </c>
      <c r="T15" s="2">
        <v>0</v>
      </c>
      <c r="U15" s="2">
        <v>0</v>
      </c>
      <c r="V15" s="18" cm="1">
        <f t="array" ref="V15">SUM(Table261315[[#This Row],[Teeth brushing]:[My Family]]*20, Table261315[[#This Row],[Hydration &amp; Supp]]*20,Table261315[[#This Row],[Good Sleep]]*20)</f>
        <v>0</v>
      </c>
    </row>
    <row r="16" spans="1:23">
      <c r="P16" s="2" t="s">
        <v>19</v>
      </c>
      <c r="Q16" s="2">
        <v>1</v>
      </c>
      <c r="R16" s="2">
        <v>0.4</v>
      </c>
      <c r="S16" s="2">
        <v>0.5</v>
      </c>
      <c r="T16" s="2">
        <v>1</v>
      </c>
      <c r="U16" s="2">
        <v>1</v>
      </c>
      <c r="V16" s="18" cm="1">
        <f t="array" ref="V16">SUM(Table261315[[#This Row],[Teeth brushing]:[My Family]]*20, Table261315[[#This Row],[Hydration &amp; Supp]]*20,Table261315[[#This Row],[Good Sleep]]*20,)</f>
        <v>78</v>
      </c>
    </row>
    <row r="17" spans="16:22">
      <c r="P17" s="2" t="s">
        <v>20</v>
      </c>
      <c r="Q17" s="2">
        <v>1</v>
      </c>
      <c r="R17" s="2">
        <v>0</v>
      </c>
      <c r="S17" s="2">
        <v>1.5</v>
      </c>
      <c r="T17" s="2">
        <v>1</v>
      </c>
      <c r="U17" s="2">
        <v>1</v>
      </c>
      <c r="V17" s="18" cm="1">
        <f t="array" ref="V17">SUM(Table261315[[#This Row],[Teeth brushing]:[My Family]]*15, Table261315[[#This Row],[Hydration &amp; Supp]]*10,Table261315[[#This Row],[Good Sleep]]*15)</f>
        <v>62.5</v>
      </c>
    </row>
    <row r="18" spans="16:22">
      <c r="P18" s="2" t="s">
        <v>21</v>
      </c>
      <c r="Q18" s="2">
        <v>0</v>
      </c>
      <c r="R18" s="2">
        <v>0</v>
      </c>
      <c r="S18" s="2">
        <v>0</v>
      </c>
      <c r="T18" s="2">
        <v>0</v>
      </c>
      <c r="U18" s="2">
        <v>0</v>
      </c>
      <c r="V18" s="18" cm="1">
        <f t="array" ref="V18">SUM(Table261315[[#This Row],[Teeth brushing]:[My Family]]*20, Table261315[[#This Row],[Hydration &amp; Supp]]*20,Table261315[[#This Row],[Good Sleep]]*20)</f>
        <v>0</v>
      </c>
    </row>
    <row r="19" spans="16:22">
      <c r="P19" s="2" t="s">
        <v>22</v>
      </c>
      <c r="Q19" s="2">
        <v>0</v>
      </c>
      <c r="R19" s="2">
        <v>0</v>
      </c>
      <c r="S19" s="2">
        <v>0</v>
      </c>
      <c r="T19" s="2">
        <v>0</v>
      </c>
      <c r="U19" s="2">
        <v>0</v>
      </c>
      <c r="V19" s="18" cm="1">
        <f t="array" ref="V19">SUM(Table261315[[#This Row],[Teeth brushing]:[My Family]]*20, Table261315[[#This Row],[Hydration &amp; Supp]]*20,Table261315[[#This Row],[Good Sleep]]*20)</f>
        <v>0</v>
      </c>
    </row>
    <row r="20" spans="16:22">
      <c r="P20" s="2" t="s">
        <v>23</v>
      </c>
      <c r="Q20" s="2">
        <v>0</v>
      </c>
      <c r="R20" s="2">
        <v>0</v>
      </c>
      <c r="S20" s="2">
        <v>0</v>
      </c>
      <c r="T20" s="2">
        <v>0</v>
      </c>
      <c r="U20" s="2">
        <v>0</v>
      </c>
      <c r="V20" s="18" cm="1">
        <f t="array" ref="V20">SUM(Table261315[[#This Row],[Teeth brushing]:[My Family]]*20, Table261315[[#This Row],[Hydration &amp; Supp]]*20,Table261315[[#This Row],[Good Sleep]]*20)</f>
        <v>0</v>
      </c>
    </row>
    <row r="21" spans="16:22">
      <c r="P21" s="2" t="s">
        <v>24</v>
      </c>
      <c r="Q21" s="2">
        <v>0</v>
      </c>
      <c r="R21" s="2">
        <v>0</v>
      </c>
      <c r="S21" s="2">
        <v>0</v>
      </c>
      <c r="T21" s="2">
        <v>0</v>
      </c>
      <c r="U21" s="2">
        <v>0</v>
      </c>
      <c r="V21" s="18" cm="1">
        <f t="array" ref="V21">SUM(Table261315[[#This Row],[Teeth brushing]:[My Family]]*15, Table261315[[#This Row],[Hydration &amp; Supp]]*10,Table261315[[#This Row],[Good Sleep]]*15)</f>
        <v>0</v>
      </c>
    </row>
    <row r="22" spans="16:22">
      <c r="P22" s="2" t="s">
        <v>25</v>
      </c>
      <c r="Q22" s="3">
        <f t="shared" ref="Q22:R22" si="4">SUM(Q15:Q21)</f>
        <v>2</v>
      </c>
      <c r="R22" s="3">
        <f t="shared" si="4"/>
        <v>0.4</v>
      </c>
      <c r="S22" s="3">
        <f>SUM(S15:S21)</f>
        <v>2</v>
      </c>
      <c r="T22" s="3">
        <f t="shared" ref="T22:U22" si="5">SUM(T15:T21)</f>
        <v>2</v>
      </c>
      <c r="U22" s="3">
        <f t="shared" si="5"/>
        <v>2</v>
      </c>
      <c r="V22" s="18">
        <f>ROUND(SUM(V15:V21)/5,0)</f>
        <v>28</v>
      </c>
    </row>
  </sheetData>
  <mergeCells count="5">
    <mergeCell ref="A1:A2"/>
    <mergeCell ref="A12:A13"/>
    <mergeCell ref="O1:O2"/>
    <mergeCell ref="B1:M2"/>
    <mergeCell ref="B12:M13"/>
  </mergeCells>
  <conditionalFormatting sqref="B4:L10">
    <cfRule type="colorScale" priority="3">
      <colorScale>
        <cfvo type="num" val="0"/>
        <cfvo type="percentile" val="50"/>
        <cfvo type="num" val="4"/>
        <color theme="7" tint="0.79998168889431442"/>
        <color theme="9" tint="0.39997558519241921"/>
        <color theme="9" tint="-0.249977111117893"/>
      </colorScale>
    </cfRule>
  </conditionalFormatting>
  <conditionalFormatting sqref="B4:L11">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B11:L11">
    <cfRule type="colorScale" priority="1">
      <colorScale>
        <cfvo type="num" val="0"/>
        <cfvo type="percentile" val="50"/>
        <cfvo type="num" val="15"/>
        <color theme="7" tint="0.79998168889431442"/>
        <color theme="9" tint="0.59999389629810485"/>
        <color theme="9"/>
      </colorScale>
    </cfRule>
  </conditionalFormatting>
  <conditionalFormatting sqref="M4:M11">
    <cfRule type="colorScale" priority="2">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conditionalFormatting sqref="P4:V10">
    <cfRule type="colorScale" priority="18">
      <colorScale>
        <cfvo type="num" val="0"/>
        <cfvo type="percentile" val="50"/>
        <cfvo type="num" val="4"/>
        <color theme="7" tint="0.79998168889431442"/>
        <color theme="9" tint="0.39997558519241921"/>
        <color theme="9" tint="-0.249977111117893"/>
      </colorScale>
    </cfRule>
  </conditionalFormatting>
  <conditionalFormatting sqref="P4:V11">
    <cfRule type="colorScale" priority="20">
      <colorScale>
        <cfvo type="num" val="0"/>
        <cfvo type="percentile" val="50"/>
        <cfvo type="num" val="100"/>
        <color theme="7" tint="0.79998168889431442"/>
        <color theme="9" tint="0.39997558519241921"/>
        <color theme="9" tint="-0.499984740745262"/>
      </colorScale>
    </cfRule>
  </conditionalFormatting>
  <conditionalFormatting sqref="P11:V11">
    <cfRule type="colorScale" priority="16">
      <colorScale>
        <cfvo type="num" val="0"/>
        <cfvo type="percentile" val="50"/>
        <cfvo type="num" val="15"/>
        <color theme="7" tint="0.79998168889431442"/>
        <color theme="9" tint="0.59999389629810485"/>
        <color theme="9"/>
      </colorScale>
    </cfRule>
  </conditionalFormatting>
  <conditionalFormatting sqref="Q15:U21">
    <cfRule type="colorScale" priority="13">
      <colorScale>
        <cfvo type="num" val="0"/>
        <cfvo type="percentile" val="50"/>
        <cfvo type="num" val="4"/>
        <color theme="7" tint="0.79998168889431442"/>
        <color theme="9" tint="0.39997558519241921"/>
        <color theme="9" tint="-0.249977111117893"/>
      </colorScale>
    </cfRule>
  </conditionalFormatting>
  <conditionalFormatting sqref="Q15:U22">
    <cfRule type="colorScale" priority="15">
      <colorScale>
        <cfvo type="num" val="0"/>
        <cfvo type="percentile" val="50"/>
        <cfvo type="num" val="100"/>
        <color theme="7" tint="0.79998168889431442"/>
        <color theme="9" tint="0.39997558519241921"/>
        <color theme="9" tint="-0.499984740745262"/>
      </colorScale>
    </cfRule>
  </conditionalFormatting>
  <conditionalFormatting sqref="Q22:U22">
    <cfRule type="colorScale" priority="11">
      <colorScale>
        <cfvo type="num" val="0"/>
        <cfvo type="percentile" val="50"/>
        <cfvo type="num" val="15"/>
        <color theme="7" tint="0.79998168889431442"/>
        <color theme="9" tint="0.59999389629810485"/>
        <color theme="9"/>
      </colorScale>
    </cfRule>
  </conditionalFormatting>
  <conditionalFormatting sqref="V15:V22">
    <cfRule type="colorScale" priority="12">
      <colorScale>
        <cfvo type="num" val="0"/>
        <cfvo type="percentile" val="50"/>
        <cfvo type="num" val="100"/>
        <color theme="7" tint="0.79998168889431442"/>
        <color theme="9" tint="0.79998168889431442"/>
        <color theme="9"/>
      </colorScale>
    </cfRule>
    <cfRule type="colorScale" priority="14">
      <colorScale>
        <cfvo type="num" val="0"/>
        <cfvo type="num" val="100"/>
        <color theme="7" tint="0.79998168889431442"/>
        <color theme="9" tint="-0.249977111117893"/>
      </colorScale>
    </cfRule>
  </conditionalFormatting>
  <conditionalFormatting sqref="W4:W11">
    <cfRule type="colorScale" priority="17">
      <colorScale>
        <cfvo type="num" val="0"/>
        <cfvo type="percentile" val="50"/>
        <cfvo type="num" val="100"/>
        <color theme="7" tint="0.79998168889431442"/>
        <color theme="9" tint="0.79998168889431442"/>
        <color theme="9"/>
      </colorScale>
    </cfRule>
    <cfRule type="colorScale" priority="19">
      <colorScale>
        <cfvo type="num" val="0"/>
        <cfvo type="num" val="100"/>
        <color theme="7" tint="0.79998168889431442"/>
        <color theme="9" tint="-0.249977111117893"/>
      </colorScale>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664C8-F91B-47B2-BFBF-29C27F62CBE3}">
  <dimension ref="A1:AC15"/>
  <sheetViews>
    <sheetView zoomScale="77" zoomScaleNormal="70" workbookViewId="0">
      <selection activeCell="D6" sqref="D6"/>
    </sheetView>
  </sheetViews>
  <sheetFormatPr defaultRowHeight="15"/>
  <cols>
    <col min="1" max="5" width="17.7109375" customWidth="1"/>
    <col min="6" max="7" width="23.7109375" customWidth="1"/>
    <col min="8" max="13" width="17.7109375" customWidth="1"/>
    <col min="17" max="19" width="25.7109375" customWidth="1"/>
    <col min="20" max="39" width="20.7109375" customWidth="1"/>
  </cols>
  <sheetData>
    <row r="1" spans="1:29" ht="35.1" customHeight="1">
      <c r="A1" s="19" t="s">
        <v>0</v>
      </c>
      <c r="B1" s="19"/>
      <c r="C1" s="19"/>
      <c r="D1" s="19"/>
      <c r="E1" s="19"/>
      <c r="F1" s="19"/>
      <c r="G1" s="19"/>
      <c r="H1" s="19"/>
      <c r="I1" s="19"/>
      <c r="J1" s="19"/>
      <c r="K1" s="19"/>
      <c r="L1" s="19"/>
      <c r="M1" s="19"/>
      <c r="T1" s="19" t="s">
        <v>1</v>
      </c>
      <c r="U1" s="17"/>
      <c r="V1" s="17"/>
      <c r="W1" s="17"/>
      <c r="X1" s="17"/>
      <c r="Y1" s="17"/>
      <c r="Z1" s="17"/>
      <c r="AA1" s="17"/>
    </row>
    <row r="2" spans="1:29" ht="35.1" customHeight="1">
      <c r="A2" s="19"/>
      <c r="B2" s="19"/>
      <c r="C2" s="19"/>
      <c r="D2" s="19"/>
      <c r="E2" s="19"/>
      <c r="F2" s="19"/>
      <c r="G2" s="19"/>
      <c r="H2" s="19"/>
      <c r="I2" s="19"/>
      <c r="J2" s="19"/>
      <c r="K2" s="19"/>
      <c r="L2" s="19"/>
      <c r="M2" s="19"/>
      <c r="T2" s="19"/>
      <c r="U2" s="17"/>
      <c r="V2" s="17"/>
      <c r="W2" s="17"/>
      <c r="X2" s="17"/>
      <c r="Y2" s="17"/>
      <c r="Z2" s="17"/>
      <c r="AA2" s="17"/>
    </row>
    <row r="3" spans="1:29" ht="75" customHeight="1">
      <c r="A3" s="1" t="s">
        <v>2</v>
      </c>
      <c r="B3" s="10" t="s">
        <v>3</v>
      </c>
      <c r="C3" s="10" t="s">
        <v>40</v>
      </c>
      <c r="D3" s="10" t="s">
        <v>41</v>
      </c>
      <c r="E3" s="10" t="s">
        <v>42</v>
      </c>
      <c r="F3" s="10" t="s">
        <v>43</v>
      </c>
      <c r="G3" s="10" t="s">
        <v>44</v>
      </c>
      <c r="H3" s="1" t="s">
        <v>7</v>
      </c>
      <c r="I3" s="1" t="s">
        <v>30</v>
      </c>
      <c r="J3" s="1" t="s">
        <v>9</v>
      </c>
      <c r="K3" s="10" t="s">
        <v>31</v>
      </c>
      <c r="L3" s="1" t="s">
        <v>10</v>
      </c>
      <c r="M3" s="1" t="s">
        <v>11</v>
      </c>
      <c r="T3" s="1" t="s">
        <v>2</v>
      </c>
      <c r="U3" s="1" t="s">
        <v>12</v>
      </c>
      <c r="V3" s="1" t="s">
        <v>32</v>
      </c>
      <c r="W3" s="1" t="s">
        <v>14</v>
      </c>
      <c r="X3" s="1" t="s">
        <v>33</v>
      </c>
      <c r="Y3" s="1" t="s">
        <v>16</v>
      </c>
      <c r="Z3" s="1" t="s">
        <v>17</v>
      </c>
      <c r="AA3" s="1" t="s">
        <v>10</v>
      </c>
      <c r="AB3" s="1" t="s">
        <v>11</v>
      </c>
    </row>
    <row r="4" spans="1:29" ht="35.1" customHeight="1">
      <c r="A4" s="2" t="s">
        <v>18</v>
      </c>
      <c r="B4" s="2">
        <v>1.2</v>
      </c>
      <c r="C4" s="2">
        <v>0.3</v>
      </c>
      <c r="D4" s="2">
        <v>3</v>
      </c>
      <c r="E4" s="2">
        <v>0</v>
      </c>
      <c r="F4" s="2">
        <v>0</v>
      </c>
      <c r="G4" s="2">
        <v>1.2</v>
      </c>
      <c r="H4" s="2">
        <v>0</v>
      </c>
      <c r="I4" s="2">
        <v>1</v>
      </c>
      <c r="J4" s="2">
        <v>0</v>
      </c>
      <c r="K4" s="2">
        <v>1</v>
      </c>
      <c r="L4" s="2">
        <v>1</v>
      </c>
      <c r="M4" s="18" cm="1">
        <f t="array" ref="M4">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112</v>
      </c>
      <c r="T4" s="2" t="s">
        <v>18</v>
      </c>
      <c r="U4" s="2">
        <v>1</v>
      </c>
      <c r="V4" s="2">
        <v>0</v>
      </c>
      <c r="W4" s="2">
        <v>0.5</v>
      </c>
      <c r="X4" s="2">
        <v>0</v>
      </c>
      <c r="Y4" s="11">
        <v>1</v>
      </c>
      <c r="Z4" s="11">
        <v>1</v>
      </c>
      <c r="AA4" s="11">
        <v>1</v>
      </c>
      <c r="AB4" s="18" cm="1">
        <f t="array" ref="AB4">SUM(Table261312[[#This Row],[Endo]:[RBS]]*15, Table261312[[#This Row],[Work ]]*10,Table261312[[#This Row],[Gym]]*15,Table261312[[#This Row],[diet]]*15, Table261312[[#This Row],[P]]*15)</f>
        <v>67.5</v>
      </c>
      <c r="AC4" t="s">
        <v>45</v>
      </c>
    </row>
    <row r="5" spans="1:29" ht="35.1" customHeight="1">
      <c r="A5" s="2" t="s">
        <v>19</v>
      </c>
      <c r="B5" s="2">
        <v>9</v>
      </c>
      <c r="C5" s="2">
        <v>0</v>
      </c>
      <c r="D5" s="2">
        <v>0</v>
      </c>
      <c r="E5" s="2">
        <v>0</v>
      </c>
      <c r="F5" s="2">
        <v>0</v>
      </c>
      <c r="G5" s="2">
        <v>0</v>
      </c>
      <c r="H5" s="2">
        <v>0</v>
      </c>
      <c r="I5" s="2">
        <v>0</v>
      </c>
      <c r="J5" s="2">
        <v>0</v>
      </c>
      <c r="K5" s="2">
        <v>0.5</v>
      </c>
      <c r="L5" s="2">
        <v>1</v>
      </c>
      <c r="M5" s="18" cm="1">
        <f t="array" ref="M5">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107.5</v>
      </c>
      <c r="T5" s="2" t="s">
        <v>19</v>
      </c>
      <c r="U5" s="2">
        <v>0</v>
      </c>
      <c r="V5" s="2">
        <v>0</v>
      </c>
      <c r="W5" s="2">
        <v>0</v>
      </c>
      <c r="X5" s="2">
        <v>0</v>
      </c>
      <c r="Y5" s="2">
        <v>0</v>
      </c>
      <c r="Z5" s="2">
        <v>0</v>
      </c>
      <c r="AA5" s="2">
        <v>1</v>
      </c>
      <c r="AB5" s="18" cm="1">
        <f t="array" ref="AB5">SUM(Table261312[[#This Row],[Endo]:[RBS]]*15, Table261312[[#This Row],[Work ]]*10,Table261312[[#This Row],[Gym]]*15,Table261312[[#This Row],[diet]]*15, Table261312[[#This Row],[P]]*15)</f>
        <v>15</v>
      </c>
    </row>
    <row r="6" spans="1:29" ht="35.1" customHeight="1">
      <c r="A6" s="2" t="s">
        <v>20</v>
      </c>
      <c r="B6" s="2">
        <v>1.5</v>
      </c>
      <c r="C6" s="2">
        <v>0</v>
      </c>
      <c r="D6" s="2">
        <v>0.25</v>
      </c>
      <c r="E6" s="2">
        <v>0</v>
      </c>
      <c r="F6" s="2">
        <v>0</v>
      </c>
      <c r="G6" s="2">
        <v>2.5</v>
      </c>
      <c r="H6" s="2">
        <v>1</v>
      </c>
      <c r="I6" s="2">
        <v>0</v>
      </c>
      <c r="J6" s="2">
        <v>1</v>
      </c>
      <c r="K6" s="2">
        <v>1</v>
      </c>
      <c r="L6" s="2">
        <v>0</v>
      </c>
      <c r="M6" s="18" cm="1">
        <f t="array" ref="M6">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83.75</v>
      </c>
      <c r="T6" s="2" t="s">
        <v>20</v>
      </c>
      <c r="U6" s="2">
        <v>0</v>
      </c>
      <c r="V6" s="2">
        <v>0</v>
      </c>
      <c r="W6" s="2">
        <v>0</v>
      </c>
      <c r="X6" s="2">
        <v>2</v>
      </c>
      <c r="Y6" s="2">
        <v>1</v>
      </c>
      <c r="Z6" s="2">
        <v>0</v>
      </c>
      <c r="AA6" s="2">
        <v>1</v>
      </c>
      <c r="AB6" s="18" cm="1">
        <f t="array" ref="AB6">SUM(Table261312[[#This Row],[Endo]:[RBS]]*15, Table261312[[#This Row],[Work ]]*10,Table261312[[#This Row],[Gym]]*15,Table261312[[#This Row],[diet]]*15, Table261312[[#This Row],[P]]*15)</f>
        <v>50</v>
      </c>
    </row>
    <row r="7" spans="1:29" ht="35.1" customHeight="1">
      <c r="A7" s="2" t="s">
        <v>21</v>
      </c>
      <c r="B7" s="2">
        <v>3.5</v>
      </c>
      <c r="C7" s="2">
        <v>0.25</v>
      </c>
      <c r="D7" s="2">
        <v>0</v>
      </c>
      <c r="E7" s="2">
        <v>0</v>
      </c>
      <c r="F7" s="2">
        <v>0</v>
      </c>
      <c r="G7" s="2">
        <v>0.75</v>
      </c>
      <c r="H7" s="2">
        <v>2.2999999999999998</v>
      </c>
      <c r="I7" s="2">
        <v>0</v>
      </c>
      <c r="J7" s="2">
        <v>0</v>
      </c>
      <c r="K7" s="2">
        <v>1</v>
      </c>
      <c r="L7" s="2">
        <v>1</v>
      </c>
      <c r="M7" s="18" cm="1">
        <f t="array" ref="M7">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93</v>
      </c>
      <c r="T7" s="2" t="s">
        <v>21</v>
      </c>
      <c r="U7" s="2">
        <v>0</v>
      </c>
      <c r="V7" s="2">
        <v>0</v>
      </c>
      <c r="W7" s="2">
        <v>0</v>
      </c>
      <c r="X7" s="2">
        <v>0</v>
      </c>
      <c r="Y7" s="2">
        <v>0</v>
      </c>
      <c r="Z7" s="2">
        <v>0</v>
      </c>
      <c r="AA7" s="2">
        <v>0</v>
      </c>
      <c r="AB7" s="18" cm="1">
        <f t="array" ref="AB7">SUM(Table261312[[#This Row],[Endo]:[RBS]]*15, Table261312[[#This Row],[Work ]]*10,Table261312[[#This Row],[Gym]]*15,Table261312[[#This Row],[diet]]*15, Table261312[[#This Row],[P]]*15)</f>
        <v>0</v>
      </c>
    </row>
    <row r="8" spans="1:29" ht="35.1" customHeight="1">
      <c r="A8" s="2" t="s">
        <v>22</v>
      </c>
      <c r="B8" s="2">
        <v>4</v>
      </c>
      <c r="C8" s="2">
        <v>0.5</v>
      </c>
      <c r="D8" s="2">
        <v>0</v>
      </c>
      <c r="E8" s="2">
        <v>1.2</v>
      </c>
      <c r="F8" s="2">
        <v>0</v>
      </c>
      <c r="G8" s="2">
        <v>0</v>
      </c>
      <c r="H8" s="2">
        <v>1.2</v>
      </c>
      <c r="I8" s="2">
        <v>1</v>
      </c>
      <c r="J8" s="2">
        <v>0</v>
      </c>
      <c r="K8" s="2">
        <v>1</v>
      </c>
      <c r="L8" s="2">
        <v>1</v>
      </c>
      <c r="M8" s="18" cm="1">
        <f t="array" ref="M8">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115</v>
      </c>
      <c r="T8" s="2" t="s">
        <v>22</v>
      </c>
      <c r="U8" s="2">
        <v>0</v>
      </c>
      <c r="V8" s="2">
        <v>0</v>
      </c>
      <c r="W8" s="2">
        <v>0</v>
      </c>
      <c r="X8" s="2">
        <v>0.5</v>
      </c>
      <c r="Y8" s="2">
        <v>1</v>
      </c>
      <c r="Z8" s="2">
        <v>1</v>
      </c>
      <c r="AA8" s="2">
        <v>1</v>
      </c>
      <c r="AB8" s="18" cm="1">
        <f t="array" ref="AB8">SUM(Table261312[[#This Row],[Endo]:[RBS]]*15, Table261312[[#This Row],[Work ]]*10,Table261312[[#This Row],[Gym]]*15,Table261312[[#This Row],[diet]]*15, Table261312[[#This Row],[P]]*15)</f>
        <v>50</v>
      </c>
    </row>
    <row r="9" spans="1:29" ht="35.1" customHeight="1">
      <c r="A9" s="2" t="s">
        <v>23</v>
      </c>
      <c r="B9" s="2">
        <v>2.2000000000000002</v>
      </c>
      <c r="C9" s="2">
        <v>0</v>
      </c>
      <c r="D9" s="2">
        <v>0</v>
      </c>
      <c r="E9" s="2">
        <v>0</v>
      </c>
      <c r="F9" s="2">
        <v>0</v>
      </c>
      <c r="G9" s="2">
        <v>0</v>
      </c>
      <c r="H9" s="2">
        <v>3.6</v>
      </c>
      <c r="I9" s="2">
        <v>1</v>
      </c>
      <c r="J9" s="2">
        <v>0</v>
      </c>
      <c r="K9" s="2">
        <v>1</v>
      </c>
      <c r="L9" s="2">
        <v>1</v>
      </c>
      <c r="M9" s="18" cm="1">
        <f t="array" ref="M9">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98</v>
      </c>
      <c r="T9" s="2" t="s">
        <v>23</v>
      </c>
      <c r="U9" s="2">
        <v>0</v>
      </c>
      <c r="V9" s="2">
        <v>0</v>
      </c>
      <c r="W9" s="2">
        <v>0</v>
      </c>
      <c r="X9" s="2">
        <v>0</v>
      </c>
      <c r="Y9" s="2">
        <v>0</v>
      </c>
      <c r="Z9" s="2">
        <v>0</v>
      </c>
      <c r="AA9" s="2">
        <v>0</v>
      </c>
      <c r="AB9" s="18" cm="1">
        <f t="array" ref="AB9">SUM(Table261312[[#This Row],[Endo]:[RBS]]*15, Table261312[[#This Row],[Work ]]*10,Table261312[[#This Row],[Gym]]*15,Table261312[[#This Row],[diet]]*15, Table261312[[#This Row],[P]]*15)</f>
        <v>0</v>
      </c>
    </row>
    <row r="10" spans="1:29" ht="35.1" customHeight="1">
      <c r="A10" s="2" t="s">
        <v>24</v>
      </c>
      <c r="B10" s="2">
        <v>0</v>
      </c>
      <c r="C10" s="2">
        <v>0</v>
      </c>
      <c r="D10" s="2">
        <v>0</v>
      </c>
      <c r="E10" s="2">
        <v>0</v>
      </c>
      <c r="F10" s="2">
        <v>0.5</v>
      </c>
      <c r="G10" s="2">
        <v>1.5</v>
      </c>
      <c r="H10" s="2">
        <v>0</v>
      </c>
      <c r="I10" s="2">
        <v>0</v>
      </c>
      <c r="J10" s="2">
        <v>0</v>
      </c>
      <c r="K10" s="2">
        <v>0</v>
      </c>
      <c r="L10" s="2">
        <v>0</v>
      </c>
      <c r="M10" s="18" cm="1">
        <f t="array" ref="M10">SUM(Table2141418[[#This Row],[CS224n Project]:[CS234 projects]]*10, Table2141418[[#This Row],[CS224n studying &amp;
past assignments]:[Math 104 Studying &amp;
past assignments]]*15, Table2141418[[#This Row],[Wake up at 10:30
sleep at 2]]*15, Table2141418[[#This Row],[P]]*10, Table2141418[[#This Row],[gym ]]*15+Table2141418[[#This Row],[Recording]]*10, Table2141418[[#This Row],[Squash]]*15, Table2141418[[#This Row],[Summer Apps]]*10)</f>
        <v>22.5</v>
      </c>
      <c r="T10" s="2" t="s">
        <v>24</v>
      </c>
      <c r="U10" s="2">
        <v>0</v>
      </c>
      <c r="V10" s="2">
        <v>0</v>
      </c>
      <c r="W10" s="2">
        <v>0</v>
      </c>
      <c r="X10" s="2">
        <v>0.5</v>
      </c>
      <c r="Y10" s="2">
        <v>1</v>
      </c>
      <c r="Z10" s="2">
        <v>1</v>
      </c>
      <c r="AA10" s="2">
        <v>0</v>
      </c>
      <c r="AB10" s="18" cm="1">
        <f t="array" ref="AB10">SUM(Table261312[[#This Row],[Endo]:[RBS]]*15, Table261312[[#This Row],[Work ]]*10,Table261312[[#This Row],[Gym]]*15,Table261312[[#This Row],[diet]]*15, Table261312[[#This Row],[P]]*15)</f>
        <v>35</v>
      </c>
    </row>
    <row r="11" spans="1:29" ht="35.1" customHeight="1">
      <c r="A11" s="2" t="s">
        <v>25</v>
      </c>
      <c r="B11" s="3">
        <f>SUM(B4:B10)</f>
        <v>21.4</v>
      </c>
      <c r="C11" s="3">
        <f t="shared" ref="C11:L11" si="0">SUM(C4:C10)</f>
        <v>1.05</v>
      </c>
      <c r="D11" s="3">
        <f t="shared" si="0"/>
        <v>3.25</v>
      </c>
      <c r="E11" s="3">
        <f>SUM(E4:E10)</f>
        <v>1.2</v>
      </c>
      <c r="F11" s="3">
        <f>SUM(F4:F10)</f>
        <v>0.5</v>
      </c>
      <c r="G11" s="3">
        <f>SUM(G4:G10)</f>
        <v>5.95</v>
      </c>
      <c r="H11" s="3">
        <f>SUM(H4:H10)</f>
        <v>8.1</v>
      </c>
      <c r="I11" s="3">
        <f t="shared" ref="I11:J11" si="1">SUM(I4:I10)</f>
        <v>3</v>
      </c>
      <c r="J11" s="3">
        <f t="shared" si="1"/>
        <v>1</v>
      </c>
      <c r="K11" s="3">
        <f t="shared" si="0"/>
        <v>5.5</v>
      </c>
      <c r="L11" s="3">
        <f t="shared" si="0"/>
        <v>5</v>
      </c>
      <c r="M11" s="18">
        <f>ROUND(SUM(M4:M10)/7, 0)</f>
        <v>90</v>
      </c>
      <c r="T11" s="2" t="s">
        <v>25</v>
      </c>
      <c r="U11" s="3">
        <f t="shared" ref="U11:V11" si="2">SUM(U4:U10)</f>
        <v>1</v>
      </c>
      <c r="V11" s="3">
        <f t="shared" si="2"/>
        <v>0</v>
      </c>
      <c r="W11" s="3">
        <f>SUM(W4:W10)</f>
        <v>0.5</v>
      </c>
      <c r="X11" s="3">
        <v>0</v>
      </c>
      <c r="Y11" s="3">
        <v>0</v>
      </c>
      <c r="Z11" s="3">
        <f t="shared" ref="Z11:AA11" si="3">SUM(Z4:Z10)</f>
        <v>3</v>
      </c>
      <c r="AA11" s="3">
        <f t="shared" si="3"/>
        <v>4</v>
      </c>
      <c r="AB11" s="18">
        <f>ROUND(SUM(AB4:AB10)/7,0)</f>
        <v>31</v>
      </c>
    </row>
    <row r="12" spans="1:29" ht="35.1" customHeight="1">
      <c r="A12" s="19" t="s">
        <v>46</v>
      </c>
      <c r="B12" s="24" t="s">
        <v>47</v>
      </c>
      <c r="C12" s="24"/>
      <c r="D12" s="24"/>
      <c r="E12" s="24"/>
      <c r="F12" s="24"/>
      <c r="G12" s="24"/>
      <c r="H12" s="24"/>
      <c r="I12" s="24"/>
      <c r="J12" s="24"/>
      <c r="K12" s="24"/>
      <c r="L12" s="24"/>
      <c r="M12" s="24"/>
    </row>
    <row r="13" spans="1:29" ht="190.5" customHeight="1">
      <c r="A13" s="19"/>
      <c r="B13" s="24"/>
      <c r="C13" s="24"/>
      <c r="D13" s="24"/>
      <c r="E13" s="24"/>
      <c r="F13" s="24"/>
      <c r="G13" s="24"/>
      <c r="H13" s="24"/>
      <c r="I13" s="24"/>
      <c r="J13" s="24"/>
      <c r="K13" s="24"/>
      <c r="L13" s="24"/>
      <c r="M13" s="24"/>
    </row>
    <row r="14" spans="1:29" ht="24.95" customHeight="1"/>
    <row r="15" spans="1:29" ht="24.95" customHeight="1"/>
  </sheetData>
  <mergeCells count="5">
    <mergeCell ref="A1:A2"/>
    <mergeCell ref="B1:M2"/>
    <mergeCell ref="A12:A13"/>
    <mergeCell ref="B12:M13"/>
    <mergeCell ref="T1:T2"/>
  </mergeCells>
  <conditionalFormatting sqref="M4:M11">
    <cfRule type="colorScale" priority="2">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conditionalFormatting sqref="U4:AA10 B4:L10">
    <cfRule type="colorScale" priority="8">
      <colorScale>
        <cfvo type="num" val="0"/>
        <cfvo type="percentile" val="50"/>
        <cfvo type="num" val="4"/>
        <color theme="7" tint="0.79998168889431442"/>
        <color theme="9" tint="0.39997558519241921"/>
        <color theme="9" tint="-0.249977111117893"/>
      </colorScale>
    </cfRule>
  </conditionalFormatting>
  <conditionalFormatting sqref="U4:AA11 B4:L11">
    <cfRule type="colorScale" priority="10">
      <colorScale>
        <cfvo type="num" val="0"/>
        <cfvo type="percentile" val="50"/>
        <cfvo type="num" val="100"/>
        <color theme="7" tint="0.79998168889431442"/>
        <color theme="9" tint="0.39997558519241921"/>
        <color theme="9" tint="-0.499984740745262"/>
      </colorScale>
    </cfRule>
  </conditionalFormatting>
  <conditionalFormatting sqref="U11:AA11 B11:L11">
    <cfRule type="colorScale" priority="6">
      <colorScale>
        <cfvo type="num" val="0"/>
        <cfvo type="percentile" val="50"/>
        <cfvo type="num" val="15"/>
        <color theme="7" tint="0.79998168889431442"/>
        <color theme="9" tint="0.59999389629810485"/>
        <color theme="9"/>
      </colorScale>
    </cfRule>
  </conditionalFormatting>
  <conditionalFormatting sqref="AB4:AB11">
    <cfRule type="colorScale" priority="7">
      <colorScale>
        <cfvo type="num" val="0"/>
        <cfvo type="percentile" val="50"/>
        <cfvo type="num" val="100"/>
        <color theme="7" tint="0.79998168889431442"/>
        <color theme="9" tint="0.79998168889431442"/>
        <color theme="9"/>
      </colorScale>
    </cfRule>
    <cfRule type="colorScale" priority="9">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61DE-9FC9-4043-8124-59C392356C13}">
  <dimension ref="A1:Y15"/>
  <sheetViews>
    <sheetView topLeftCell="C1" zoomScale="95" zoomScaleNormal="175" workbookViewId="0">
      <selection activeCell="B12" sqref="B12"/>
    </sheetView>
  </sheetViews>
  <sheetFormatPr defaultRowHeight="15"/>
  <cols>
    <col min="1" max="14" width="18.7109375" customWidth="1"/>
    <col min="15" max="15" width="80" customWidth="1"/>
    <col min="16" max="24" width="20.7109375" customWidth="1"/>
    <col min="25" max="25" width="15.7109375" customWidth="1"/>
  </cols>
  <sheetData>
    <row r="1" spans="1:25" ht="24.95" customHeight="1">
      <c r="A1" s="19" t="s">
        <v>0</v>
      </c>
      <c r="B1" s="19"/>
      <c r="C1" s="19"/>
      <c r="D1" s="19"/>
      <c r="E1" s="19"/>
      <c r="F1" s="19"/>
      <c r="G1" s="19"/>
      <c r="H1" s="19"/>
      <c r="I1" s="19"/>
      <c r="J1" s="19"/>
      <c r="K1" s="19"/>
      <c r="L1" s="19"/>
      <c r="M1" s="19"/>
      <c r="N1" s="19"/>
      <c r="P1" s="19" t="s">
        <v>1</v>
      </c>
      <c r="Q1" s="17"/>
      <c r="R1" s="17"/>
      <c r="S1" s="17"/>
      <c r="T1" s="17"/>
      <c r="U1" s="17"/>
      <c r="V1" s="17"/>
      <c r="W1" s="17"/>
    </row>
    <row r="2" spans="1:25" ht="24.95" customHeight="1">
      <c r="A2" s="19"/>
      <c r="B2" s="19"/>
      <c r="C2" s="19"/>
      <c r="D2" s="19"/>
      <c r="E2" s="19"/>
      <c r="F2" s="19"/>
      <c r="G2" s="19"/>
      <c r="H2" s="19"/>
      <c r="I2" s="19"/>
      <c r="J2" s="19"/>
      <c r="K2" s="19"/>
      <c r="L2" s="19"/>
      <c r="M2" s="19"/>
      <c r="N2" s="19"/>
      <c r="P2" s="19"/>
      <c r="Q2" s="17"/>
      <c r="R2" s="17"/>
      <c r="S2" s="17"/>
      <c r="T2" s="17"/>
      <c r="U2" s="17"/>
      <c r="V2" s="17"/>
      <c r="W2" s="17"/>
    </row>
    <row r="3" spans="1:25" ht="72" customHeight="1">
      <c r="A3" s="1" t="s">
        <v>2</v>
      </c>
      <c r="B3" s="10" t="s">
        <v>3</v>
      </c>
      <c r="C3" s="10" t="s">
        <v>4</v>
      </c>
      <c r="D3" s="10" t="s">
        <v>41</v>
      </c>
      <c r="E3" s="10" t="s">
        <v>42</v>
      </c>
      <c r="F3" s="10" t="s">
        <v>43</v>
      </c>
      <c r="G3" s="10" t="s">
        <v>44</v>
      </c>
      <c r="H3" s="10" t="s">
        <v>48</v>
      </c>
      <c r="I3" s="1" t="s">
        <v>7</v>
      </c>
      <c r="J3" s="1" t="s">
        <v>30</v>
      </c>
      <c r="K3" s="1" t="s">
        <v>9</v>
      </c>
      <c r="L3" s="10" t="s">
        <v>31</v>
      </c>
      <c r="M3" s="1" t="s">
        <v>10</v>
      </c>
      <c r="N3" s="1" t="s">
        <v>11</v>
      </c>
      <c r="P3" s="1" t="s">
        <v>2</v>
      </c>
      <c r="Q3" s="1" t="s">
        <v>12</v>
      </c>
      <c r="R3" s="1" t="s">
        <v>32</v>
      </c>
      <c r="S3" s="1" t="s">
        <v>14</v>
      </c>
      <c r="T3" s="1" t="s">
        <v>49</v>
      </c>
      <c r="U3" s="1" t="s">
        <v>50</v>
      </c>
      <c r="V3" s="1" t="s">
        <v>51</v>
      </c>
      <c r="W3" s="1" t="s">
        <v>52</v>
      </c>
      <c r="X3" s="1" t="s">
        <v>10</v>
      </c>
      <c r="Y3" s="1" t="s">
        <v>11</v>
      </c>
    </row>
    <row r="4" spans="1:25" ht="24.95" customHeight="1">
      <c r="A4" s="2" t="s">
        <v>18</v>
      </c>
      <c r="B4" s="2">
        <v>0</v>
      </c>
      <c r="C4" s="2">
        <v>0</v>
      </c>
      <c r="D4" s="2">
        <v>0</v>
      </c>
      <c r="E4" s="2">
        <v>0</v>
      </c>
      <c r="F4" s="2">
        <v>0</v>
      </c>
      <c r="G4" s="2">
        <v>6.5</v>
      </c>
      <c r="H4" s="2">
        <v>0.3</v>
      </c>
      <c r="I4" s="2">
        <v>0</v>
      </c>
      <c r="J4" s="2">
        <v>1</v>
      </c>
      <c r="K4" s="2">
        <v>0</v>
      </c>
      <c r="L4" s="2">
        <v>1</v>
      </c>
      <c r="M4" s="2">
        <v>1</v>
      </c>
      <c r="N4" s="18" cm="1">
        <f t="array" ref="N4">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109.5</v>
      </c>
      <c r="P4" s="2" t="s">
        <v>18</v>
      </c>
      <c r="Q4" s="2">
        <v>0</v>
      </c>
      <c r="R4" s="2">
        <v>4</v>
      </c>
      <c r="S4" s="2">
        <v>0</v>
      </c>
      <c r="T4" s="2">
        <v>1</v>
      </c>
      <c r="U4" s="11">
        <v>0</v>
      </c>
      <c r="V4" s="11">
        <v>1</v>
      </c>
      <c r="W4" s="11">
        <v>1</v>
      </c>
      <c r="X4" s="11">
        <v>1</v>
      </c>
      <c r="Y4" s="18" cm="1">
        <f t="array" ref="Y4">SUM(Table2613122[[#This Row],[Endo]:[RBS]]*15, Table2613122[[#This Row],[Work &amp; Reading]]*10,Table2613122[[#This Row],[Gym &amp; Diet]]*20,Table2613122[[#This Row],[ Early &amp; cold shower]]*10, Table2613122[[#This Row],[P]]*10, Table2613122[[#This Row],[Quit Scrollling]]*10)</f>
        <v>100</v>
      </c>
    </row>
    <row r="5" spans="1:25" ht="24.95" customHeight="1">
      <c r="A5" s="2" t="s">
        <v>19</v>
      </c>
      <c r="B5" s="2">
        <v>0</v>
      </c>
      <c r="C5" s="2">
        <v>0.5</v>
      </c>
      <c r="D5" s="2">
        <v>0</v>
      </c>
      <c r="E5" s="2">
        <v>0</v>
      </c>
      <c r="F5" s="2">
        <v>0</v>
      </c>
      <c r="G5" s="2">
        <v>1.2</v>
      </c>
      <c r="H5" s="2">
        <v>3</v>
      </c>
      <c r="I5" s="2">
        <v>0</v>
      </c>
      <c r="J5" s="2">
        <v>0.5</v>
      </c>
      <c r="K5" s="2">
        <v>0.5</v>
      </c>
      <c r="L5" s="2">
        <v>1</v>
      </c>
      <c r="M5" s="2">
        <v>0</v>
      </c>
      <c r="N5" s="18" cm="1">
        <f t="array" ref="N5">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92</v>
      </c>
      <c r="P5" s="2" t="s">
        <v>19</v>
      </c>
      <c r="Q5" s="2">
        <v>0</v>
      </c>
      <c r="R5" s="2">
        <v>0</v>
      </c>
      <c r="S5" s="2">
        <v>0</v>
      </c>
      <c r="T5" s="2">
        <v>0</v>
      </c>
      <c r="U5" s="2">
        <v>0</v>
      </c>
      <c r="V5" s="2">
        <v>0</v>
      </c>
      <c r="W5" s="2">
        <v>0</v>
      </c>
      <c r="X5" s="2">
        <v>0</v>
      </c>
      <c r="Y5" s="18">
        <v>0</v>
      </c>
    </row>
    <row r="6" spans="1:25" ht="24.95" customHeight="1">
      <c r="A6" s="2" t="s">
        <v>20</v>
      </c>
      <c r="B6" s="2">
        <v>0</v>
      </c>
      <c r="C6" s="2">
        <v>1</v>
      </c>
      <c r="D6" s="2">
        <v>0</v>
      </c>
      <c r="E6" s="2">
        <v>0</v>
      </c>
      <c r="F6" s="2">
        <v>0.3</v>
      </c>
      <c r="G6" s="2">
        <v>0.6</v>
      </c>
      <c r="H6" s="2">
        <v>0.6</v>
      </c>
      <c r="I6" s="2">
        <v>1</v>
      </c>
      <c r="J6" s="2">
        <v>1</v>
      </c>
      <c r="K6" s="2">
        <v>0</v>
      </c>
      <c r="L6" s="2">
        <v>1</v>
      </c>
      <c r="M6" s="2">
        <v>0</v>
      </c>
      <c r="N6" s="18" cm="1">
        <f t="array" ref="N6">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69.5</v>
      </c>
      <c r="P6" s="2" t="s">
        <v>20</v>
      </c>
      <c r="Q6" s="2">
        <v>0</v>
      </c>
      <c r="R6" s="2">
        <v>2</v>
      </c>
      <c r="S6" s="2">
        <v>0</v>
      </c>
      <c r="T6" s="2">
        <v>0</v>
      </c>
      <c r="U6" s="2">
        <v>0.5</v>
      </c>
      <c r="V6" s="2">
        <v>1</v>
      </c>
      <c r="W6" s="2">
        <v>0</v>
      </c>
      <c r="X6" s="2">
        <v>1</v>
      </c>
      <c r="Y6" s="18" cm="1">
        <f t="array" ref="Y6">SUM(Table2613122[[#This Row],[Endo]:[RBS]]*15, Table2613122[[#This Row],[Work &amp; Reading]]*10,Table2613122[[#This Row],[Gym &amp; Diet]]*20,Table2613122[[#This Row],[ Early &amp; cold shower]]*10, Table2613122[[#This Row],[P]]*10, Table2613122[[#This Row],[Quit Scrollling]]*10)</f>
        <v>60</v>
      </c>
    </row>
    <row r="7" spans="1:25" ht="24.95" customHeight="1">
      <c r="A7" s="2" t="s">
        <v>21</v>
      </c>
      <c r="B7" s="2">
        <v>0</v>
      </c>
      <c r="C7" s="2">
        <v>0</v>
      </c>
      <c r="D7" s="2">
        <v>0</v>
      </c>
      <c r="E7" s="2">
        <v>0</v>
      </c>
      <c r="F7" s="2">
        <v>0</v>
      </c>
      <c r="G7" s="2">
        <v>0</v>
      </c>
      <c r="H7" s="2">
        <v>4</v>
      </c>
      <c r="I7" s="2">
        <v>1.2</v>
      </c>
      <c r="J7" s="2">
        <v>0</v>
      </c>
      <c r="K7" s="2">
        <v>0</v>
      </c>
      <c r="L7" s="2">
        <v>0</v>
      </c>
      <c r="M7" s="2">
        <v>1</v>
      </c>
      <c r="N7" s="18" cm="1">
        <f t="array" ref="N7">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82</v>
      </c>
      <c r="P7" s="2" t="s">
        <v>21</v>
      </c>
      <c r="Q7" s="2">
        <v>0</v>
      </c>
      <c r="R7" s="2">
        <v>0</v>
      </c>
      <c r="S7" s="2">
        <v>0</v>
      </c>
      <c r="T7" s="2">
        <v>0</v>
      </c>
      <c r="U7" s="2">
        <v>0</v>
      </c>
      <c r="V7" s="2">
        <v>1</v>
      </c>
      <c r="W7" s="2">
        <v>0</v>
      </c>
      <c r="X7" s="2">
        <v>1</v>
      </c>
      <c r="Y7" s="18" cm="1">
        <f t="array" ref="Y7">SUM(Table2613122[[#This Row],[Endo]:[RBS]]*15, Table2613122[[#This Row],[Work &amp; Reading]]*10,Table2613122[[#This Row],[Gym &amp; Diet]]*20,Table2613122[[#This Row],[ Early &amp; cold shower]]*10, Table2613122[[#This Row],[P]]*10, Table2613122[[#This Row],[Quit Scrollling]]*10)</f>
        <v>20</v>
      </c>
    </row>
    <row r="8" spans="1:25" ht="24.95" customHeight="1">
      <c r="A8" s="2" t="s">
        <v>22</v>
      </c>
      <c r="B8" s="2">
        <v>0</v>
      </c>
      <c r="C8" s="2">
        <v>1.5</v>
      </c>
      <c r="D8" s="2">
        <v>0</v>
      </c>
      <c r="E8" s="2">
        <v>0.5</v>
      </c>
      <c r="F8" s="2">
        <v>0</v>
      </c>
      <c r="G8" s="2">
        <v>3.3</v>
      </c>
      <c r="H8" s="2">
        <v>0.8</v>
      </c>
      <c r="I8" s="2">
        <v>1.2</v>
      </c>
      <c r="J8" s="2">
        <v>0.25</v>
      </c>
      <c r="K8" s="2">
        <v>0.25</v>
      </c>
      <c r="L8" s="2">
        <v>1</v>
      </c>
      <c r="M8" s="2">
        <v>1</v>
      </c>
      <c r="N8" s="18" cm="1">
        <f t="array" ref="N8">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112</v>
      </c>
      <c r="P8" s="2" t="s">
        <v>22</v>
      </c>
      <c r="Q8" s="2">
        <v>0</v>
      </c>
      <c r="R8" s="2">
        <v>0</v>
      </c>
      <c r="S8" s="11">
        <v>0</v>
      </c>
      <c r="T8" s="11">
        <v>0</v>
      </c>
      <c r="U8" s="11">
        <v>1</v>
      </c>
      <c r="V8" s="2">
        <v>0.5</v>
      </c>
      <c r="W8" s="11">
        <v>1</v>
      </c>
      <c r="X8" s="11">
        <v>1</v>
      </c>
      <c r="Y8" s="18" cm="1">
        <f t="array" ref="Y8">SUM(Table2613122[[#This Row],[Endo]:[RBS]]*15, Table2613122[[#This Row],[Work &amp; Reading]]*10,Table2613122[[#This Row],[Gym &amp; Diet]]*20,Table2613122[[#This Row],[ Early &amp; cold shower]]*10, Table2613122[[#This Row],[P]]*10, Table2613122[[#This Row],[Quit Scrollling]]*10)</f>
        <v>45</v>
      </c>
    </row>
    <row r="9" spans="1:25" ht="24.95" customHeight="1">
      <c r="A9" s="2" t="s">
        <v>23</v>
      </c>
      <c r="B9" s="2">
        <v>0</v>
      </c>
      <c r="C9" s="2">
        <v>0</v>
      </c>
      <c r="D9" s="2">
        <v>0</v>
      </c>
      <c r="E9" s="2">
        <v>0</v>
      </c>
      <c r="F9" s="2">
        <v>2.5</v>
      </c>
      <c r="G9" s="2">
        <v>3</v>
      </c>
      <c r="H9" s="2">
        <v>0</v>
      </c>
      <c r="I9" s="2">
        <v>3.6</v>
      </c>
      <c r="J9" s="2">
        <v>1</v>
      </c>
      <c r="K9" s="2">
        <v>0</v>
      </c>
      <c r="L9" s="2">
        <v>1</v>
      </c>
      <c r="M9" s="2">
        <v>1</v>
      </c>
      <c r="N9" s="18" cm="1">
        <f t="array" ref="N9">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143.5</v>
      </c>
      <c r="P9" s="2" t="s">
        <v>23</v>
      </c>
      <c r="Q9" s="2">
        <v>0</v>
      </c>
      <c r="R9" s="2">
        <v>0</v>
      </c>
      <c r="S9" s="11">
        <v>3</v>
      </c>
      <c r="T9" s="11">
        <v>1</v>
      </c>
      <c r="U9" s="11">
        <v>1</v>
      </c>
      <c r="V9" s="2">
        <v>1</v>
      </c>
      <c r="W9" s="11">
        <v>1</v>
      </c>
      <c r="X9" s="11">
        <v>1</v>
      </c>
      <c r="Y9" s="18" cm="1">
        <f t="array" ref="Y9">SUM(Table2613122[[#This Row],[Endo]:[RBS]]*15, Table2613122[[#This Row],[Work &amp; Reading]]*10,Table2613122[[#This Row],[Gym &amp; Diet]]*20,Table2613122[[#This Row],[ Early &amp; cold shower]]*10, Table2613122[[#This Row],[P]]*10, Table2613122[[#This Row],[Quit Scrollling]]*10)</f>
        <v>105</v>
      </c>
    </row>
    <row r="10" spans="1:25" ht="24.95" customHeight="1">
      <c r="A10" s="2" t="s">
        <v>24</v>
      </c>
      <c r="B10" s="2">
        <v>0</v>
      </c>
      <c r="C10" s="2">
        <v>1</v>
      </c>
      <c r="D10" s="2">
        <v>0</v>
      </c>
      <c r="E10" s="2">
        <v>0</v>
      </c>
      <c r="F10" s="2">
        <v>0.5</v>
      </c>
      <c r="G10" s="2">
        <v>3.3</v>
      </c>
      <c r="H10" s="2">
        <v>0</v>
      </c>
      <c r="I10" s="2">
        <v>0</v>
      </c>
      <c r="J10" s="2">
        <v>1</v>
      </c>
      <c r="K10" s="2">
        <v>0</v>
      </c>
      <c r="L10" s="2">
        <v>1</v>
      </c>
      <c r="M10" s="2">
        <v>0</v>
      </c>
      <c r="N10" s="18" cm="1">
        <f t="array" ref="N10">SUM(Table21414185[[#This Row],[CS224n Project]:[CS234 project]]*10, Table21414185[[#This Row],[CS224n studying &amp;
past assignments]:[Math 104 Studying &amp;
past assignments]]*15, Table21414185[[#This Row],[Wake up at 10:30
sleep at 2]]*15, Table21414185[[#This Row],[P]]*10, Table21414185[[#This Row],[gym ]]*15+Table21414185[[#This Row],[Recording]]*10, Table21414185[[#This Row],[Squash]]*15, Table21414185[[#This Row],[Summer Apps]]*10, Table21414185[[#This Row],[Leetcode design
Leetcode algorithm]]*15)</f>
        <v>80.5</v>
      </c>
      <c r="P10" s="2" t="s">
        <v>24</v>
      </c>
      <c r="Q10" s="2">
        <v>0</v>
      </c>
      <c r="R10" s="2">
        <v>0</v>
      </c>
      <c r="S10" s="2">
        <v>2</v>
      </c>
      <c r="T10" s="2">
        <v>0</v>
      </c>
      <c r="U10" s="2">
        <v>1</v>
      </c>
      <c r="V10" s="2">
        <v>0</v>
      </c>
      <c r="W10" s="2">
        <v>1</v>
      </c>
      <c r="X10" s="2">
        <v>1</v>
      </c>
      <c r="Y10" s="18" cm="1">
        <f t="array" ref="Y10">SUM(Table2613122[[#This Row],[Endo]:[RBS]]*15, Table2613122[[#This Row],[Work &amp; Reading]]*10,Table2613122[[#This Row],[Gym &amp; Diet]]*20,Table2613122[[#This Row],[ Early &amp; cold shower]]*10, Table2613122[[#This Row],[P]]*10, Table2613122[[#This Row],[Quit Scrollling]]*10)</f>
        <v>70</v>
      </c>
    </row>
    <row r="11" spans="1:25" ht="24.95" customHeight="1">
      <c r="A11" s="2" t="s">
        <v>25</v>
      </c>
      <c r="B11" s="3">
        <f>SUM(B4:B10)</f>
        <v>0</v>
      </c>
      <c r="C11" s="3">
        <f t="shared" ref="C11:M11" si="0">SUM(C4:C10)</f>
        <v>4</v>
      </c>
      <c r="D11" s="3">
        <f t="shared" si="0"/>
        <v>0</v>
      </c>
      <c r="E11" s="3">
        <f>SUM(E4:E10)</f>
        <v>0.5</v>
      </c>
      <c r="F11" s="3">
        <f>SUM(F4:F10)</f>
        <v>3.3</v>
      </c>
      <c r="G11" s="3">
        <f>SUM(G4:G10)</f>
        <v>17.900000000000002</v>
      </c>
      <c r="H11" s="3">
        <f>SUM(H4:H10)</f>
        <v>8.7000000000000011</v>
      </c>
      <c r="I11" s="3">
        <f>SUM(I4:I10)</f>
        <v>7</v>
      </c>
      <c r="J11" s="3">
        <f t="shared" ref="J11:K11" si="1">SUM(J4:J10)</f>
        <v>4.75</v>
      </c>
      <c r="K11" s="3">
        <f t="shared" si="1"/>
        <v>0.75</v>
      </c>
      <c r="L11" s="3">
        <f t="shared" si="0"/>
        <v>6</v>
      </c>
      <c r="M11" s="3">
        <f t="shared" si="0"/>
        <v>4</v>
      </c>
      <c r="N11" s="18">
        <f>ROUND(SUM(N4:N10)/7, 0)</f>
        <v>98</v>
      </c>
      <c r="P11" s="2" t="s">
        <v>25</v>
      </c>
      <c r="Q11" s="3">
        <f t="shared" ref="Q11:R11" si="2">SUM(Q4:Q10)</f>
        <v>0</v>
      </c>
      <c r="R11" s="3">
        <f t="shared" si="2"/>
        <v>6</v>
      </c>
      <c r="S11" s="3">
        <f>SUM(S4:S10)</f>
        <v>5</v>
      </c>
      <c r="T11" s="3">
        <v>0</v>
      </c>
      <c r="U11" s="3">
        <v>0</v>
      </c>
      <c r="V11" s="3">
        <f t="shared" ref="V11" si="3">SUM(V4:V10)</f>
        <v>4.5</v>
      </c>
      <c r="W11" s="3">
        <v>0</v>
      </c>
      <c r="X11" s="3">
        <v>0</v>
      </c>
      <c r="Y11" s="18">
        <f>ROUND(SUM(Y4:Y10)/7,0)</f>
        <v>57</v>
      </c>
    </row>
    <row r="12" spans="1:25" ht="24.95" customHeight="1">
      <c r="A12" s="19" t="s">
        <v>46</v>
      </c>
      <c r="B12" s="24" t="s">
        <v>53</v>
      </c>
      <c r="C12" s="24"/>
      <c r="D12" s="24"/>
      <c r="E12" s="24"/>
      <c r="F12" s="24"/>
      <c r="G12" s="24"/>
      <c r="H12" s="24"/>
      <c r="I12" s="24"/>
      <c r="J12" s="24"/>
      <c r="K12" s="24"/>
      <c r="L12" s="24"/>
      <c r="M12" s="24"/>
      <c r="N12" s="24"/>
    </row>
    <row r="13" spans="1:25" ht="241.5" customHeight="1">
      <c r="A13" s="19"/>
      <c r="B13" s="24"/>
      <c r="C13" s="24"/>
      <c r="D13" s="24"/>
      <c r="E13" s="24"/>
      <c r="F13" s="24"/>
      <c r="G13" s="24"/>
      <c r="H13" s="24"/>
      <c r="I13" s="24"/>
      <c r="J13" s="24"/>
      <c r="K13" s="24"/>
      <c r="L13" s="24"/>
      <c r="M13" s="24"/>
      <c r="N13" s="24"/>
    </row>
    <row r="14" spans="1:25" ht="35.1" customHeight="1">
      <c r="A14" s="12"/>
      <c r="B14" s="12"/>
      <c r="C14" s="12"/>
      <c r="D14" s="12"/>
      <c r="E14" s="12"/>
      <c r="F14" s="12"/>
    </row>
    <row r="15" spans="1:25" ht="35.1" customHeight="1">
      <c r="A15" s="12"/>
      <c r="B15" s="12"/>
      <c r="C15" s="12"/>
      <c r="D15" s="12"/>
      <c r="E15" s="12"/>
      <c r="F15" s="12"/>
    </row>
  </sheetData>
  <mergeCells count="5">
    <mergeCell ref="P1:P2"/>
    <mergeCell ref="A1:A2"/>
    <mergeCell ref="B1:N2"/>
    <mergeCell ref="A12:A13"/>
    <mergeCell ref="B12:N13"/>
  </mergeCells>
  <phoneticPr fontId="3" type="noConversion"/>
  <conditionalFormatting sqref="B4:M10">
    <cfRule type="colorScale" priority="4">
      <colorScale>
        <cfvo type="num" val="0"/>
        <cfvo type="percentile" val="50"/>
        <cfvo type="num" val="4"/>
        <color theme="7" tint="0.79998168889431442"/>
        <color theme="9" tint="0.39997558519241921"/>
        <color theme="9" tint="-0.249977111117893"/>
      </colorScale>
    </cfRule>
  </conditionalFormatting>
  <conditionalFormatting sqref="B4:M11">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B11:M11">
    <cfRule type="colorScale" priority="3">
      <colorScale>
        <cfvo type="num" val="0"/>
        <cfvo type="percentile" val="50"/>
        <cfvo type="num" val="15"/>
        <color theme="7" tint="0.79998168889431442"/>
        <color theme="9" tint="0.59999389629810485"/>
        <color theme="9"/>
      </colorScale>
    </cfRule>
  </conditionalFormatting>
  <conditionalFormatting sqref="N4:N11">
    <cfRule type="colorScale" priority="1">
      <colorScale>
        <cfvo type="num" val="0"/>
        <cfvo type="percentile" val="50"/>
        <cfvo type="num" val="100"/>
        <color theme="7" tint="0.79998168889431442"/>
        <color theme="9" tint="0.79998168889431442"/>
        <color theme="9"/>
      </colorScale>
    </cfRule>
    <cfRule type="colorScale" priority="2">
      <colorScale>
        <cfvo type="num" val="0"/>
        <cfvo type="num" val="100"/>
        <color theme="7" tint="0.79998168889431442"/>
        <color theme="9" tint="-0.249977111117893"/>
      </colorScale>
    </cfRule>
  </conditionalFormatting>
  <conditionalFormatting sqref="Q4:X10">
    <cfRule type="colorScale" priority="18">
      <colorScale>
        <cfvo type="num" val="0"/>
        <cfvo type="percentile" val="50"/>
        <cfvo type="num" val="4"/>
        <color theme="7" tint="0.79998168889431442"/>
        <color theme="9" tint="0.39997558519241921"/>
        <color theme="9" tint="-0.249977111117893"/>
      </colorScale>
    </cfRule>
  </conditionalFormatting>
  <conditionalFormatting sqref="Q4:X11">
    <cfRule type="colorScale" priority="20">
      <colorScale>
        <cfvo type="num" val="0"/>
        <cfvo type="percentile" val="50"/>
        <cfvo type="num" val="100"/>
        <color theme="7" tint="0.79998168889431442"/>
        <color theme="9" tint="0.39997558519241921"/>
        <color theme="9" tint="-0.499984740745262"/>
      </colorScale>
    </cfRule>
  </conditionalFormatting>
  <conditionalFormatting sqref="Q11:X11">
    <cfRule type="colorScale" priority="16">
      <colorScale>
        <cfvo type="num" val="0"/>
        <cfvo type="percentile" val="50"/>
        <cfvo type="num" val="15"/>
        <color theme="7" tint="0.79998168889431442"/>
        <color theme="9" tint="0.59999389629810485"/>
        <color theme="9"/>
      </colorScale>
    </cfRule>
  </conditionalFormatting>
  <conditionalFormatting sqref="Y4:Y11">
    <cfRule type="colorScale" priority="7">
      <colorScale>
        <cfvo type="num" val="0"/>
        <cfvo type="percentile" val="50"/>
        <cfvo type="num" val="100"/>
        <color theme="7" tint="0.79998168889431442"/>
        <color theme="9" tint="0.79998168889431442"/>
        <color theme="9"/>
      </colorScale>
    </cfRule>
    <cfRule type="colorScale" priority="9">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0F1F5-9120-4286-979A-53B9724F2D51}">
  <dimension ref="A1:AB14"/>
  <sheetViews>
    <sheetView topLeftCell="D1" zoomScale="65" zoomScaleNormal="220" workbookViewId="0">
      <selection activeCell="B13" sqref="B13"/>
    </sheetView>
  </sheetViews>
  <sheetFormatPr defaultRowHeight="15"/>
  <cols>
    <col min="1" max="14" width="17.7109375" customWidth="1"/>
    <col min="16" max="25" width="20.7109375" customWidth="1"/>
  </cols>
  <sheetData>
    <row r="1" spans="1:28" ht="24.95" customHeight="1"/>
    <row r="2" spans="1:28" ht="30" customHeight="1">
      <c r="A2" s="19" t="s">
        <v>0</v>
      </c>
      <c r="B2" s="19" t="s">
        <v>54</v>
      </c>
      <c r="C2" s="19"/>
      <c r="D2" s="19"/>
      <c r="E2" s="19"/>
      <c r="F2" s="19"/>
      <c r="G2" s="19"/>
      <c r="H2" s="19"/>
      <c r="I2" s="19"/>
      <c r="J2" s="19"/>
      <c r="K2" s="19"/>
      <c r="L2" s="19"/>
      <c r="M2" s="19"/>
      <c r="N2" s="19"/>
      <c r="P2" s="19" t="s">
        <v>1</v>
      </c>
      <c r="Q2" s="17"/>
      <c r="R2" s="17"/>
      <c r="S2" s="17"/>
      <c r="T2" s="17"/>
      <c r="U2" s="17"/>
      <c r="V2" s="17"/>
      <c r="W2" s="17"/>
    </row>
    <row r="3" spans="1:28" ht="30" customHeight="1">
      <c r="A3" s="19"/>
      <c r="B3" s="19"/>
      <c r="C3" s="19"/>
      <c r="D3" s="19"/>
      <c r="E3" s="19"/>
      <c r="F3" s="19"/>
      <c r="G3" s="19"/>
      <c r="H3" s="19"/>
      <c r="I3" s="19"/>
      <c r="J3" s="19"/>
      <c r="K3" s="19"/>
      <c r="L3" s="19"/>
      <c r="M3" s="19"/>
      <c r="N3" s="19"/>
      <c r="P3" s="19"/>
      <c r="Q3" s="17"/>
      <c r="R3" s="17"/>
      <c r="S3" s="17"/>
      <c r="T3" s="17"/>
      <c r="U3" s="17"/>
      <c r="V3" s="17"/>
      <c r="W3" s="17"/>
    </row>
    <row r="4" spans="1:28" ht="72" customHeight="1">
      <c r="A4" s="1" t="s">
        <v>2</v>
      </c>
      <c r="B4" s="10" t="s">
        <v>3</v>
      </c>
      <c r="C4" s="10" t="s">
        <v>4</v>
      </c>
      <c r="D4" s="10" t="s">
        <v>41</v>
      </c>
      <c r="E4" s="10" t="s">
        <v>42</v>
      </c>
      <c r="F4" s="10" t="s">
        <v>43</v>
      </c>
      <c r="G4" s="10" t="s">
        <v>44</v>
      </c>
      <c r="H4" s="10" t="s">
        <v>48</v>
      </c>
      <c r="I4" s="1" t="s">
        <v>7</v>
      </c>
      <c r="J4" s="1" t="s">
        <v>30</v>
      </c>
      <c r="K4" s="1" t="s">
        <v>9</v>
      </c>
      <c r="L4" s="10" t="s">
        <v>31</v>
      </c>
      <c r="M4" s="1" t="s">
        <v>10</v>
      </c>
      <c r="N4" s="1" t="s">
        <v>11</v>
      </c>
      <c r="P4" s="1" t="s">
        <v>2</v>
      </c>
      <c r="Q4" s="1" t="s">
        <v>12</v>
      </c>
      <c r="R4" s="1" t="s">
        <v>32</v>
      </c>
      <c r="S4" s="1" t="s">
        <v>14</v>
      </c>
      <c r="T4" s="1" t="s">
        <v>55</v>
      </c>
      <c r="U4" s="1" t="s">
        <v>49</v>
      </c>
      <c r="V4" s="1" t="s">
        <v>16</v>
      </c>
      <c r="W4" s="1" t="s">
        <v>56</v>
      </c>
      <c r="X4" s="1" t="s">
        <v>57</v>
      </c>
      <c r="Y4" s="1" t="s">
        <v>52</v>
      </c>
      <c r="Z4" s="1" t="s">
        <v>10</v>
      </c>
      <c r="AA4" s="1" t="s">
        <v>11</v>
      </c>
    </row>
    <row r="5" spans="1:28" ht="30" customHeight="1">
      <c r="A5" s="2" t="s">
        <v>18</v>
      </c>
      <c r="B5" s="2">
        <v>1.3</v>
      </c>
      <c r="C5" s="2">
        <v>0</v>
      </c>
      <c r="D5" s="2">
        <v>0</v>
      </c>
      <c r="E5" s="2">
        <v>0</v>
      </c>
      <c r="F5" s="2">
        <v>2.5</v>
      </c>
      <c r="G5" s="2">
        <v>0</v>
      </c>
      <c r="H5" s="2">
        <v>0</v>
      </c>
      <c r="I5" s="2">
        <v>0</v>
      </c>
      <c r="J5" s="2">
        <v>1</v>
      </c>
      <c r="K5" s="2">
        <v>0</v>
      </c>
      <c r="L5" s="2">
        <v>0.5</v>
      </c>
      <c r="M5" s="2">
        <v>1</v>
      </c>
      <c r="N5" s="18" cm="1">
        <f t="array" ref="N5">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88</v>
      </c>
      <c r="P5" s="2" t="s">
        <v>18</v>
      </c>
      <c r="Q5" s="2">
        <v>0</v>
      </c>
      <c r="R5" s="2">
        <v>0</v>
      </c>
      <c r="S5" s="2">
        <v>6</v>
      </c>
      <c r="T5" s="2">
        <v>0</v>
      </c>
      <c r="U5" s="2">
        <v>0</v>
      </c>
      <c r="V5" s="11">
        <v>0</v>
      </c>
      <c r="W5" s="11">
        <v>0.33333333333332998</v>
      </c>
      <c r="X5" s="11">
        <v>1</v>
      </c>
      <c r="Y5" s="11">
        <v>0</v>
      </c>
      <c r="Z5" s="11">
        <v>1</v>
      </c>
      <c r="AA5" s="18" cm="1">
        <f t="array" ref="AA5">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114.99999999999994</v>
      </c>
    </row>
    <row r="6" spans="1:28" ht="30" customHeight="1">
      <c r="A6" s="2" t="s">
        <v>19</v>
      </c>
      <c r="B6" s="2">
        <v>2.5</v>
      </c>
      <c r="C6" s="2">
        <v>0</v>
      </c>
      <c r="D6" s="2">
        <v>0</v>
      </c>
      <c r="E6" s="2">
        <v>0</v>
      </c>
      <c r="F6" s="2">
        <v>0.3</v>
      </c>
      <c r="G6" s="2">
        <v>2</v>
      </c>
      <c r="H6" s="2">
        <v>0</v>
      </c>
      <c r="I6" s="2">
        <v>0</v>
      </c>
      <c r="J6" s="2">
        <v>1</v>
      </c>
      <c r="K6" s="2">
        <v>0</v>
      </c>
      <c r="L6" s="2">
        <v>0.5</v>
      </c>
      <c r="M6" s="2">
        <v>0</v>
      </c>
      <c r="N6" s="18" cm="1">
        <f t="array" ref="N6">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72</v>
      </c>
      <c r="P6" s="2" t="s">
        <v>19</v>
      </c>
      <c r="Q6" s="2">
        <v>0</v>
      </c>
      <c r="R6" s="2">
        <v>0</v>
      </c>
      <c r="S6" s="11">
        <v>2</v>
      </c>
      <c r="T6" s="11">
        <v>0</v>
      </c>
      <c r="U6" s="11">
        <v>1</v>
      </c>
      <c r="V6" s="11">
        <v>1</v>
      </c>
      <c r="W6" s="13">
        <v>1</v>
      </c>
      <c r="X6" s="2">
        <v>0</v>
      </c>
      <c r="Y6" s="11">
        <v>1</v>
      </c>
      <c r="Z6" s="11">
        <v>1</v>
      </c>
      <c r="AA6" s="18" cm="1">
        <f t="array" ref="AA6">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85</v>
      </c>
    </row>
    <row r="7" spans="1:28" ht="30" customHeight="1">
      <c r="A7" s="2" t="s">
        <v>20</v>
      </c>
      <c r="B7" s="2">
        <v>0</v>
      </c>
      <c r="C7" s="2">
        <v>0</v>
      </c>
      <c r="D7" s="2">
        <v>0</v>
      </c>
      <c r="E7" s="2">
        <v>0</v>
      </c>
      <c r="F7" s="2">
        <v>0</v>
      </c>
      <c r="G7" s="2">
        <v>2</v>
      </c>
      <c r="H7" s="2">
        <v>0</v>
      </c>
      <c r="I7" s="2">
        <v>0</v>
      </c>
      <c r="J7" s="2">
        <v>1</v>
      </c>
      <c r="K7" s="2">
        <v>0</v>
      </c>
      <c r="L7" s="2">
        <v>0</v>
      </c>
      <c r="M7" s="2">
        <v>0</v>
      </c>
      <c r="N7" s="18" cm="1">
        <f t="array" ref="N7">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35</v>
      </c>
      <c r="P7" s="2" t="s">
        <v>20</v>
      </c>
      <c r="Q7" s="2">
        <v>0</v>
      </c>
      <c r="R7" s="2">
        <v>0</v>
      </c>
      <c r="S7" s="11">
        <v>1</v>
      </c>
      <c r="T7" s="11">
        <v>0</v>
      </c>
      <c r="U7" s="11">
        <v>0</v>
      </c>
      <c r="V7" s="11">
        <v>1</v>
      </c>
      <c r="W7" s="11">
        <v>1</v>
      </c>
      <c r="X7" s="11">
        <v>1</v>
      </c>
      <c r="Y7" s="11">
        <v>0</v>
      </c>
      <c r="Z7" s="11">
        <v>1</v>
      </c>
      <c r="AA7" s="18" cm="1">
        <f t="array" ref="AA7">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60</v>
      </c>
    </row>
    <row r="8" spans="1:28" ht="30" customHeight="1">
      <c r="A8" s="2" t="s">
        <v>21</v>
      </c>
      <c r="B8" s="2">
        <v>0</v>
      </c>
      <c r="C8" s="2">
        <v>1</v>
      </c>
      <c r="D8" s="2">
        <v>0</v>
      </c>
      <c r="E8" s="2">
        <v>0</v>
      </c>
      <c r="F8" s="2">
        <v>0</v>
      </c>
      <c r="G8" s="2">
        <v>0</v>
      </c>
      <c r="H8" s="2">
        <v>0</v>
      </c>
      <c r="I8" s="2">
        <v>0</v>
      </c>
      <c r="J8" s="2">
        <v>0</v>
      </c>
      <c r="K8" s="2">
        <v>0</v>
      </c>
      <c r="L8" s="2">
        <v>0</v>
      </c>
      <c r="M8" s="2">
        <v>1</v>
      </c>
      <c r="N8" s="18" cm="1">
        <f t="array" ref="N8">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25</v>
      </c>
      <c r="P8" s="2" t="s">
        <v>21</v>
      </c>
      <c r="Q8" s="2">
        <v>0</v>
      </c>
      <c r="R8" s="2">
        <v>0</v>
      </c>
      <c r="S8" s="2">
        <v>0</v>
      </c>
      <c r="T8" s="2">
        <v>0</v>
      </c>
      <c r="U8" s="2">
        <v>0</v>
      </c>
      <c r="V8" s="11">
        <v>1</v>
      </c>
      <c r="W8" s="2">
        <v>0</v>
      </c>
      <c r="X8" s="11">
        <v>1</v>
      </c>
      <c r="Y8" s="2">
        <v>0</v>
      </c>
      <c r="Z8" s="2">
        <v>0</v>
      </c>
      <c r="AA8" s="18" cm="1">
        <f t="array" ref="AA8">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20</v>
      </c>
    </row>
    <row r="9" spans="1:28" ht="30" customHeight="1">
      <c r="A9" s="2" t="s">
        <v>22</v>
      </c>
      <c r="B9" s="2">
        <v>0</v>
      </c>
      <c r="C9" s="2">
        <v>2</v>
      </c>
      <c r="D9" s="2">
        <v>0</v>
      </c>
      <c r="E9" s="2">
        <v>0</v>
      </c>
      <c r="F9" s="2">
        <v>0</v>
      </c>
      <c r="G9" s="2">
        <v>0</v>
      </c>
      <c r="H9" s="2">
        <v>0</v>
      </c>
      <c r="I9" s="2">
        <v>0</v>
      </c>
      <c r="J9" s="2">
        <v>0</v>
      </c>
      <c r="K9" s="2">
        <v>1</v>
      </c>
      <c r="L9" s="2">
        <v>1</v>
      </c>
      <c r="M9" s="2">
        <v>0</v>
      </c>
      <c r="N9" s="18" cm="1">
        <f t="array" ref="N9">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50</v>
      </c>
      <c r="P9" s="2" t="s">
        <v>22</v>
      </c>
      <c r="Q9" s="2">
        <v>0</v>
      </c>
      <c r="R9" s="2">
        <v>0</v>
      </c>
      <c r="S9" s="11">
        <v>1</v>
      </c>
      <c r="T9" s="2">
        <v>0</v>
      </c>
      <c r="U9" s="2">
        <v>0</v>
      </c>
      <c r="V9" s="11">
        <v>0</v>
      </c>
      <c r="W9" s="2">
        <v>0</v>
      </c>
      <c r="X9" s="11">
        <v>1</v>
      </c>
      <c r="Y9" s="11">
        <v>0</v>
      </c>
      <c r="Z9" s="11">
        <v>1</v>
      </c>
      <c r="AA9" s="18" cm="1">
        <f t="array" ref="AA9">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35</v>
      </c>
    </row>
    <row r="10" spans="1:28" ht="30" customHeight="1">
      <c r="A10" s="2" t="s">
        <v>23</v>
      </c>
      <c r="B10" s="2">
        <v>1</v>
      </c>
      <c r="C10" s="2">
        <v>0</v>
      </c>
      <c r="D10" s="2">
        <v>0</v>
      </c>
      <c r="E10" s="2">
        <v>0</v>
      </c>
      <c r="F10" s="2">
        <v>0</v>
      </c>
      <c r="G10" s="2">
        <v>0</v>
      </c>
      <c r="H10" s="2">
        <v>0</v>
      </c>
      <c r="I10" s="2">
        <v>0</v>
      </c>
      <c r="J10" s="2">
        <v>1</v>
      </c>
      <c r="K10" s="2">
        <v>0</v>
      </c>
      <c r="L10" s="2">
        <v>0</v>
      </c>
      <c r="M10" s="2">
        <v>0</v>
      </c>
      <c r="N10" s="18" cm="1">
        <f t="array" ref="N10">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25</v>
      </c>
      <c r="P10" s="2" t="s">
        <v>23</v>
      </c>
      <c r="Q10" s="2">
        <v>0</v>
      </c>
      <c r="R10" s="2">
        <v>0</v>
      </c>
      <c r="S10" s="11">
        <v>0</v>
      </c>
      <c r="T10" s="2">
        <v>0</v>
      </c>
      <c r="U10" s="2">
        <v>0</v>
      </c>
      <c r="V10" s="11">
        <v>0</v>
      </c>
      <c r="W10" s="2">
        <v>0</v>
      </c>
      <c r="X10" s="11">
        <v>1</v>
      </c>
      <c r="Y10" s="11">
        <v>0</v>
      </c>
      <c r="Z10" s="11">
        <v>0</v>
      </c>
      <c r="AA10" s="18" cm="1">
        <f t="array" ref="AA10">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10</v>
      </c>
    </row>
    <row r="11" spans="1:28" ht="30" customHeight="1">
      <c r="A11" s="2" t="s">
        <v>24</v>
      </c>
      <c r="B11" s="2">
        <v>0.75</v>
      </c>
      <c r="C11" s="2">
        <v>0</v>
      </c>
      <c r="D11" s="2">
        <v>0</v>
      </c>
      <c r="E11" s="2">
        <v>0</v>
      </c>
      <c r="F11" s="2">
        <v>3.3</v>
      </c>
      <c r="G11" s="2">
        <v>0</v>
      </c>
      <c r="H11" s="2">
        <v>0</v>
      </c>
      <c r="I11" s="2">
        <v>0</v>
      </c>
      <c r="J11" s="2">
        <v>0</v>
      </c>
      <c r="K11" s="2">
        <v>0</v>
      </c>
      <c r="L11" s="2">
        <v>0</v>
      </c>
      <c r="M11" s="2">
        <v>1</v>
      </c>
      <c r="N11" s="18" cm="1">
        <f t="array" ref="N11">SUM(Table2141418516[[#This Row],[CS224n Project]:[CS234 project]]*10, Table2141418516[[#This Row],[CS224n studying &amp;
past assignments]:[Math 104 Studying &amp;
past assignments]]*15, Table2141418516[[#This Row],[Wake up at 10:30
sleep at 2]]*15, Table2141418516[[#This Row],[P]]*15, Table2141418516[[#This Row],[gym ]]*15+Table2141418516[[#This Row],[Recording]]*10, Table2141418516[[#This Row],[Squash]]*15, Table2141418516[[#This Row],[Summer Apps]]*10, Table2141418516[[#This Row],[Leetcode design
Leetcode algorithm]]*15)</f>
        <v>72</v>
      </c>
      <c r="P11" s="2" t="s">
        <v>24</v>
      </c>
      <c r="Q11" s="2">
        <v>0</v>
      </c>
      <c r="R11" s="2">
        <v>0</v>
      </c>
      <c r="S11" s="11">
        <v>1</v>
      </c>
      <c r="T11" s="2">
        <v>0</v>
      </c>
      <c r="U11" s="2">
        <v>0</v>
      </c>
      <c r="V11" s="11">
        <v>0</v>
      </c>
      <c r="W11" s="2">
        <v>0</v>
      </c>
      <c r="X11" s="11">
        <v>1</v>
      </c>
      <c r="Y11" s="11">
        <v>0</v>
      </c>
      <c r="Z11" s="11">
        <v>0</v>
      </c>
      <c r="AA11" s="18" cm="1">
        <f t="array" ref="AA11">SUM(Table261312219[[#This Row],[Endo]:[RBS]]*15, Table261312219[[#This Row],[Work &amp; Reading]]*10,Table261312219[[#This Row],[Gym]]*10,Table261312219[[#This Row],[8 cont sleep hours]]*10,Table261312219[[#This Row],[Cut &amp; Hydration]]*15,Table261312219[[#This Row],[Negida Academy]]*10, Table261312219[[#This Row],[P]]*10, Table261312219[[#This Row],[Quit Scrollling]]*10)</f>
        <v>25</v>
      </c>
    </row>
    <row r="12" spans="1:28" ht="30" customHeight="1">
      <c r="A12" s="2" t="s">
        <v>25</v>
      </c>
      <c r="B12" s="3">
        <f>SUM(B5:B11)</f>
        <v>5.55</v>
      </c>
      <c r="C12" s="3">
        <f t="shared" ref="C12:M12" si="0">SUM(C5:C11)</f>
        <v>3</v>
      </c>
      <c r="D12" s="3">
        <f t="shared" si="0"/>
        <v>0</v>
      </c>
      <c r="E12" s="3">
        <f>SUM(E5:E11)</f>
        <v>0</v>
      </c>
      <c r="F12" s="3">
        <f>SUM(F5:F11)</f>
        <v>6.1</v>
      </c>
      <c r="G12" s="3">
        <f>SUM(G5:G11)</f>
        <v>4</v>
      </c>
      <c r="H12" s="3">
        <f>SUM(H5:H11)</f>
        <v>0</v>
      </c>
      <c r="I12" s="3">
        <f>SUM(I5:I11)</f>
        <v>0</v>
      </c>
      <c r="J12" s="3">
        <f t="shared" ref="J12:K12" si="1">SUM(J5:J11)</f>
        <v>4</v>
      </c>
      <c r="K12" s="3">
        <f t="shared" si="1"/>
        <v>1</v>
      </c>
      <c r="L12" s="3">
        <f t="shared" si="0"/>
        <v>2</v>
      </c>
      <c r="M12" s="3">
        <f t="shared" si="0"/>
        <v>3</v>
      </c>
      <c r="N12" s="18">
        <f>ROUND(SUM(N5:N11)/7, 0)</f>
        <v>52</v>
      </c>
      <c r="P12" s="2" t="s">
        <v>25</v>
      </c>
      <c r="Q12" s="3">
        <f t="shared" ref="Q12" si="2">SUM(Q5:Q11)</f>
        <v>0</v>
      </c>
      <c r="R12" s="3">
        <f>SUM(R5:R11)</f>
        <v>0</v>
      </c>
      <c r="S12" s="3">
        <f>SUM(S5:S11)</f>
        <v>11</v>
      </c>
      <c r="T12" s="3"/>
      <c r="U12" s="3">
        <v>0</v>
      </c>
      <c r="V12" s="11">
        <v>0</v>
      </c>
      <c r="W12" s="3">
        <v>0</v>
      </c>
      <c r="X12" s="3">
        <f t="shared" ref="X12" si="3">SUM(X5:X11)</f>
        <v>6</v>
      </c>
      <c r="Y12" s="3">
        <v>0</v>
      </c>
      <c r="Z12" s="3">
        <v>0</v>
      </c>
      <c r="AA12" s="18">
        <f>ROUND(SUM(AA5:AA11)/7,0)</f>
        <v>50</v>
      </c>
    </row>
    <row r="13" spans="1:28" ht="24.95" customHeight="1">
      <c r="A13" s="23" t="s">
        <v>58</v>
      </c>
      <c r="B13" s="24" t="s">
        <v>59</v>
      </c>
      <c r="C13" s="24"/>
      <c r="D13" s="24"/>
      <c r="E13" s="24"/>
      <c r="F13" s="24"/>
      <c r="G13" s="24"/>
      <c r="H13" s="24"/>
      <c r="I13" s="24"/>
      <c r="J13" s="24"/>
      <c r="K13" s="24"/>
      <c r="L13" s="24"/>
      <c r="M13" s="24"/>
      <c r="N13" s="24"/>
      <c r="P13" s="24" t="s">
        <v>60</v>
      </c>
      <c r="Q13" s="24"/>
      <c r="R13" s="24"/>
      <c r="S13" s="24"/>
      <c r="T13" s="24"/>
      <c r="U13" s="24"/>
      <c r="V13" s="24"/>
      <c r="W13" s="24"/>
      <c r="X13" s="24"/>
      <c r="Y13" s="24"/>
      <c r="Z13" s="24"/>
      <c r="AA13" s="24"/>
      <c r="AB13" s="24"/>
    </row>
    <row r="14" spans="1:28" ht="216.75" customHeight="1">
      <c r="A14" s="19"/>
      <c r="B14" s="24"/>
      <c r="C14" s="24"/>
      <c r="D14" s="24"/>
      <c r="E14" s="24"/>
      <c r="F14" s="24"/>
      <c r="G14" s="24"/>
      <c r="H14" s="24"/>
      <c r="I14" s="24"/>
      <c r="J14" s="24"/>
      <c r="K14" s="24"/>
      <c r="L14" s="24"/>
      <c r="M14" s="24"/>
      <c r="N14" s="24"/>
      <c r="P14" s="24"/>
      <c r="Q14" s="24"/>
      <c r="R14" s="24"/>
      <c r="S14" s="24"/>
      <c r="T14" s="24"/>
      <c r="U14" s="24"/>
      <c r="V14" s="24"/>
      <c r="W14" s="24"/>
      <c r="X14" s="24"/>
      <c r="Y14" s="24"/>
      <c r="Z14" s="24"/>
      <c r="AA14" s="24"/>
      <c r="AB14" s="24"/>
    </row>
  </sheetData>
  <mergeCells count="6">
    <mergeCell ref="P2:P3"/>
    <mergeCell ref="P13:AB14"/>
    <mergeCell ref="A2:A3"/>
    <mergeCell ref="B2:N3"/>
    <mergeCell ref="A13:A14"/>
    <mergeCell ref="B13:N14"/>
  </mergeCells>
  <conditionalFormatting sqref="B5:M5 M6:M10">
    <cfRule type="colorScale" priority="1">
      <colorScale>
        <cfvo type="num" val="0"/>
        <cfvo type="percentile" val="50"/>
        <cfvo type="num" val="4"/>
        <color theme="7" tint="0.79998168889431442"/>
        <color theme="9" tint="0.39997558519241921"/>
        <color theme="9" tint="-0.249977111117893"/>
      </colorScale>
    </cfRule>
    <cfRule type="colorScale" priority="2">
      <colorScale>
        <cfvo type="num" val="0"/>
        <cfvo type="percentile" val="50"/>
        <cfvo type="num" val="100"/>
        <color theme="7" tint="0.79998168889431442"/>
        <color theme="9" tint="0.39997558519241921"/>
        <color theme="9" tint="-0.499984740745262"/>
      </colorScale>
    </cfRule>
  </conditionalFormatting>
  <conditionalFormatting sqref="B11:M11 B6:L10 Q5:Z11">
    <cfRule type="colorScale" priority="11">
      <colorScale>
        <cfvo type="num" val="0"/>
        <cfvo type="percentile" val="50"/>
        <cfvo type="num" val="4"/>
        <color theme="7" tint="0.79998168889431442"/>
        <color theme="9" tint="0.39997558519241921"/>
        <color theme="9" tint="-0.249977111117893"/>
      </colorScale>
    </cfRule>
  </conditionalFormatting>
  <conditionalFormatting sqref="B11:M12 B6:L10 Q5:Z12">
    <cfRule type="colorScale" priority="12">
      <colorScale>
        <cfvo type="num" val="0"/>
        <cfvo type="percentile" val="50"/>
        <cfvo type="num" val="100"/>
        <color theme="7" tint="0.79998168889431442"/>
        <color theme="9" tint="0.39997558519241921"/>
        <color theme="9" tint="-0.499984740745262"/>
      </colorScale>
    </cfRule>
  </conditionalFormatting>
  <conditionalFormatting sqref="B12:M12 Q12:Z12">
    <cfRule type="colorScale" priority="10">
      <colorScale>
        <cfvo type="num" val="0"/>
        <cfvo type="percentile" val="50"/>
        <cfvo type="num" val="15"/>
        <color theme="7" tint="0.79998168889431442"/>
        <color theme="9" tint="0.59999389629810485"/>
        <color theme="9"/>
      </colorScale>
    </cfRule>
  </conditionalFormatting>
  <conditionalFormatting sqref="N5:N12">
    <cfRule type="colorScale" priority="8">
      <colorScale>
        <cfvo type="num" val="0"/>
        <cfvo type="percentile" val="50"/>
        <cfvo type="num" val="100"/>
        <color theme="7" tint="0.79998168889431442"/>
        <color theme="9" tint="0.79998168889431442"/>
        <color theme="9"/>
      </colorScale>
    </cfRule>
    <cfRule type="colorScale" priority="9">
      <colorScale>
        <cfvo type="num" val="0"/>
        <cfvo type="num" val="100"/>
        <color theme="7" tint="0.79998168889431442"/>
        <color theme="9" tint="-0.249977111117893"/>
      </colorScale>
    </cfRule>
  </conditionalFormatting>
  <conditionalFormatting sqref="AA5:AA12">
    <cfRule type="colorScale" priority="3">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45BD2-21C8-4E30-8064-DEEBA47ED539}">
  <dimension ref="A1:AC24"/>
  <sheetViews>
    <sheetView zoomScale="65" zoomScaleNormal="96" workbookViewId="0">
      <selection activeCell="Q12" sqref="Q12"/>
    </sheetView>
  </sheetViews>
  <sheetFormatPr defaultRowHeight="15"/>
  <cols>
    <col min="1" max="14" width="20.7109375" customWidth="1"/>
    <col min="16" max="27" width="20.7109375" customWidth="1"/>
  </cols>
  <sheetData>
    <row r="1" spans="1:29" ht="35.1" customHeight="1">
      <c r="A1" s="19" t="s">
        <v>0</v>
      </c>
      <c r="B1" s="12" t="s">
        <v>54</v>
      </c>
      <c r="C1" s="12"/>
      <c r="D1" s="12"/>
      <c r="E1" s="12"/>
      <c r="F1" s="12"/>
      <c r="G1" s="12"/>
      <c r="H1" s="12"/>
      <c r="I1" s="12"/>
      <c r="J1" s="12"/>
      <c r="K1" s="12"/>
      <c r="L1" s="12"/>
      <c r="M1" s="12"/>
      <c r="N1" s="12"/>
      <c r="P1" s="19" t="s">
        <v>1</v>
      </c>
      <c r="Q1" s="17"/>
      <c r="R1" s="17"/>
      <c r="S1" s="17"/>
      <c r="T1" s="17"/>
      <c r="U1" s="17"/>
      <c r="V1" s="17"/>
      <c r="W1" s="17"/>
    </row>
    <row r="2" spans="1:29" ht="35.1" customHeight="1">
      <c r="A2" s="19"/>
      <c r="B2" s="12"/>
      <c r="C2" s="12"/>
      <c r="D2" s="12"/>
      <c r="E2" s="12"/>
      <c r="F2" s="12"/>
      <c r="G2" s="12"/>
      <c r="H2" s="12"/>
      <c r="I2" s="12"/>
      <c r="J2" s="12"/>
      <c r="K2" s="12"/>
      <c r="L2" s="12"/>
      <c r="M2" s="12"/>
      <c r="N2" s="12"/>
      <c r="P2" s="19"/>
      <c r="Q2" s="17"/>
      <c r="R2" s="17"/>
      <c r="S2" s="17"/>
      <c r="T2" s="17"/>
      <c r="U2" s="17"/>
      <c r="V2" s="17"/>
      <c r="W2" s="17"/>
    </row>
    <row r="3" spans="1:29" ht="55.5" customHeight="1">
      <c r="A3" s="1" t="s">
        <v>2</v>
      </c>
      <c r="B3" s="10" t="s">
        <v>3</v>
      </c>
      <c r="C3" s="10" t="s">
        <v>4</v>
      </c>
      <c r="D3" s="10" t="s">
        <v>41</v>
      </c>
      <c r="E3" s="10" t="s">
        <v>42</v>
      </c>
      <c r="F3" s="10" t="s">
        <v>43</v>
      </c>
      <c r="G3" s="10" t="s">
        <v>44</v>
      </c>
      <c r="H3" s="10" t="s">
        <v>48</v>
      </c>
      <c r="I3" s="1" t="s">
        <v>7</v>
      </c>
      <c r="J3" s="1" t="s">
        <v>30</v>
      </c>
      <c r="K3" s="1" t="s">
        <v>9</v>
      </c>
      <c r="L3" s="10" t="s">
        <v>31</v>
      </c>
      <c r="M3" s="1" t="s">
        <v>10</v>
      </c>
      <c r="N3" s="1" t="s">
        <v>11</v>
      </c>
      <c r="P3" s="1" t="s">
        <v>61</v>
      </c>
      <c r="Q3" s="1" t="s">
        <v>12</v>
      </c>
      <c r="R3" s="1" t="s">
        <v>32</v>
      </c>
      <c r="S3" s="1" t="s">
        <v>14</v>
      </c>
      <c r="T3" s="1" t="s">
        <v>55</v>
      </c>
      <c r="U3" s="1" t="s">
        <v>49</v>
      </c>
      <c r="V3" s="1" t="s">
        <v>16</v>
      </c>
      <c r="W3" s="1" t="s">
        <v>56</v>
      </c>
      <c r="X3" s="1" t="s">
        <v>62</v>
      </c>
      <c r="Y3" s="1" t="s">
        <v>52</v>
      </c>
      <c r="Z3" s="1" t="s">
        <v>10</v>
      </c>
      <c r="AA3" s="1" t="s">
        <v>11</v>
      </c>
    </row>
    <row r="4" spans="1:29" ht="35.1" customHeight="1">
      <c r="A4" s="2" t="s">
        <v>18</v>
      </c>
      <c r="B4" s="2">
        <v>3.5</v>
      </c>
      <c r="C4" s="2">
        <v>0</v>
      </c>
      <c r="D4" s="2">
        <v>0</v>
      </c>
      <c r="E4" s="2">
        <v>0</v>
      </c>
      <c r="F4" s="2">
        <v>0.75</v>
      </c>
      <c r="G4" s="2">
        <v>0.75</v>
      </c>
      <c r="H4" s="2">
        <v>0</v>
      </c>
      <c r="I4" s="2">
        <v>0</v>
      </c>
      <c r="J4" s="2">
        <v>0</v>
      </c>
      <c r="K4" s="2">
        <v>0</v>
      </c>
      <c r="L4" s="2">
        <v>1</v>
      </c>
      <c r="M4" s="2">
        <v>1</v>
      </c>
      <c r="N4" s="18" cm="1">
        <f t="array" ref="N4">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83.75</v>
      </c>
      <c r="P4" s="2" t="s">
        <v>18</v>
      </c>
      <c r="Q4" s="2">
        <v>2</v>
      </c>
      <c r="R4" s="2">
        <v>0</v>
      </c>
      <c r="S4" s="2">
        <v>0</v>
      </c>
      <c r="T4" s="2">
        <v>0</v>
      </c>
      <c r="U4" s="2">
        <v>0</v>
      </c>
      <c r="V4" s="3">
        <v>1</v>
      </c>
      <c r="W4" s="2">
        <v>1</v>
      </c>
      <c r="X4" s="2">
        <v>1</v>
      </c>
      <c r="Y4" s="11">
        <v>0</v>
      </c>
      <c r="Z4" s="2">
        <v>1</v>
      </c>
      <c r="AA4" s="18" cm="1">
        <f t="array" ref="AA4">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75</v>
      </c>
    </row>
    <row r="5" spans="1:29" ht="35.1" customHeight="1">
      <c r="A5" s="2" t="s">
        <v>19</v>
      </c>
      <c r="B5" s="2">
        <v>1.75</v>
      </c>
      <c r="C5" s="2">
        <v>0</v>
      </c>
      <c r="D5" s="2">
        <v>0</v>
      </c>
      <c r="E5" s="2">
        <v>0</v>
      </c>
      <c r="F5" s="2">
        <v>1.5</v>
      </c>
      <c r="G5" s="2">
        <v>0</v>
      </c>
      <c r="H5" s="2">
        <v>0</v>
      </c>
      <c r="I5" s="2">
        <v>0</v>
      </c>
      <c r="J5" s="2">
        <v>1</v>
      </c>
      <c r="K5" s="2">
        <v>0</v>
      </c>
      <c r="L5" s="2">
        <v>0</v>
      </c>
      <c r="M5" s="2">
        <v>1</v>
      </c>
      <c r="N5" s="18" cm="1">
        <f t="array" ref="N5">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70</v>
      </c>
      <c r="P5" s="2" t="s">
        <v>19</v>
      </c>
      <c r="Q5" s="2">
        <v>0</v>
      </c>
      <c r="R5" s="2">
        <v>2</v>
      </c>
      <c r="S5" s="2">
        <v>0</v>
      </c>
      <c r="T5" s="2">
        <v>0</v>
      </c>
      <c r="U5" s="2">
        <v>0</v>
      </c>
      <c r="V5" s="3">
        <v>0</v>
      </c>
      <c r="W5" s="2">
        <v>1</v>
      </c>
      <c r="X5" s="2">
        <v>1</v>
      </c>
      <c r="Y5" s="2">
        <v>1</v>
      </c>
      <c r="Z5" s="2">
        <v>1</v>
      </c>
      <c r="AA5" s="18" cm="1">
        <f t="array" ref="AA5">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75</v>
      </c>
    </row>
    <row r="6" spans="1:29" ht="35.1" customHeight="1">
      <c r="A6" s="2" t="s">
        <v>20</v>
      </c>
      <c r="B6" s="2">
        <v>4</v>
      </c>
      <c r="C6" s="2">
        <v>0</v>
      </c>
      <c r="D6" s="2">
        <v>0</v>
      </c>
      <c r="E6" s="2">
        <v>0</v>
      </c>
      <c r="F6" s="2">
        <v>0</v>
      </c>
      <c r="G6" s="2">
        <v>0</v>
      </c>
      <c r="H6" s="2">
        <v>0</v>
      </c>
      <c r="I6" s="2">
        <v>0</v>
      </c>
      <c r="J6" s="2">
        <v>0</v>
      </c>
      <c r="K6" s="2">
        <v>0</v>
      </c>
      <c r="L6" s="2">
        <v>0</v>
      </c>
      <c r="M6" s="2">
        <v>0</v>
      </c>
      <c r="N6" s="18" cm="1">
        <f t="array" ref="N6">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40</v>
      </c>
      <c r="P6" s="2" t="s">
        <v>20</v>
      </c>
      <c r="Q6" s="2">
        <v>1</v>
      </c>
      <c r="R6" s="2">
        <v>0</v>
      </c>
      <c r="S6" s="2">
        <v>0</v>
      </c>
      <c r="T6" s="2">
        <v>0</v>
      </c>
      <c r="U6" s="2">
        <v>0.5</v>
      </c>
      <c r="V6" s="3">
        <v>1</v>
      </c>
      <c r="W6" s="2">
        <v>1</v>
      </c>
      <c r="X6" s="2">
        <v>1</v>
      </c>
      <c r="Y6" s="2">
        <v>0</v>
      </c>
      <c r="Z6" s="2">
        <v>1</v>
      </c>
      <c r="AA6" s="18" cm="1">
        <f t="array" ref="AA6">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65</v>
      </c>
    </row>
    <row r="7" spans="1:29" ht="35.1" customHeight="1">
      <c r="A7" s="2" t="s">
        <v>21</v>
      </c>
      <c r="B7" s="2">
        <v>0</v>
      </c>
      <c r="C7" s="2">
        <v>2</v>
      </c>
      <c r="D7" s="2">
        <v>0</v>
      </c>
      <c r="E7" s="2">
        <v>0</v>
      </c>
      <c r="F7" s="2">
        <v>4.5</v>
      </c>
      <c r="G7" s="2">
        <v>0</v>
      </c>
      <c r="H7" s="2">
        <v>0</v>
      </c>
      <c r="I7" s="2">
        <v>0</v>
      </c>
      <c r="J7" s="2">
        <v>1</v>
      </c>
      <c r="K7" s="2">
        <v>1</v>
      </c>
      <c r="L7" s="2">
        <v>0</v>
      </c>
      <c r="M7" s="2">
        <v>0</v>
      </c>
      <c r="N7" s="18" cm="1">
        <f t="array" ref="N7">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117.5</v>
      </c>
      <c r="P7" s="2" t="s">
        <v>21</v>
      </c>
      <c r="Q7" s="2">
        <v>0</v>
      </c>
      <c r="R7" s="2">
        <v>0</v>
      </c>
      <c r="S7" s="2">
        <v>0</v>
      </c>
      <c r="T7" s="2">
        <v>0</v>
      </c>
      <c r="U7" s="2">
        <v>0</v>
      </c>
      <c r="V7" s="3">
        <v>0</v>
      </c>
      <c r="W7" s="2">
        <v>1</v>
      </c>
      <c r="X7" s="2">
        <v>1</v>
      </c>
      <c r="Y7" s="2">
        <v>0</v>
      </c>
      <c r="Z7" s="2">
        <v>0</v>
      </c>
      <c r="AA7" s="18" cm="1">
        <f t="array" ref="AA7">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25</v>
      </c>
    </row>
    <row r="8" spans="1:29" ht="35.1" customHeight="1">
      <c r="A8" s="2" t="s">
        <v>22</v>
      </c>
      <c r="B8" s="2">
        <v>0</v>
      </c>
      <c r="C8" s="2">
        <v>0</v>
      </c>
      <c r="D8" s="2">
        <v>0</v>
      </c>
      <c r="E8" s="2">
        <v>0</v>
      </c>
      <c r="F8" s="2">
        <v>5</v>
      </c>
      <c r="G8" s="2">
        <v>0</v>
      </c>
      <c r="H8" s="2">
        <v>0</v>
      </c>
      <c r="I8" s="2">
        <v>0</v>
      </c>
      <c r="J8" s="2">
        <v>0</v>
      </c>
      <c r="K8" s="2">
        <v>0</v>
      </c>
      <c r="L8" s="2">
        <v>0</v>
      </c>
      <c r="M8" s="2">
        <v>1</v>
      </c>
      <c r="N8" s="18" cm="1">
        <f t="array" ref="N8">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90</v>
      </c>
      <c r="P8" s="2" t="s">
        <v>22</v>
      </c>
      <c r="Q8" s="2">
        <v>0</v>
      </c>
      <c r="R8" s="2">
        <v>0</v>
      </c>
      <c r="S8" s="2">
        <v>0</v>
      </c>
      <c r="T8" s="2">
        <v>0</v>
      </c>
      <c r="U8" s="2">
        <v>0</v>
      </c>
      <c r="V8" s="3">
        <v>0</v>
      </c>
      <c r="W8" s="2">
        <v>1</v>
      </c>
      <c r="X8" s="2">
        <v>1</v>
      </c>
      <c r="Y8" s="2">
        <v>0</v>
      </c>
      <c r="Z8" s="2">
        <v>0</v>
      </c>
      <c r="AA8" s="18" cm="1">
        <f t="array" ref="AA8">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25</v>
      </c>
    </row>
    <row r="9" spans="1:29" ht="35.1" customHeight="1">
      <c r="A9" s="2" t="s">
        <v>23</v>
      </c>
      <c r="B9" s="2">
        <v>0</v>
      </c>
      <c r="C9" s="2">
        <v>0</v>
      </c>
      <c r="D9" s="2">
        <v>0</v>
      </c>
      <c r="E9" s="2">
        <v>0</v>
      </c>
      <c r="F9" s="2">
        <v>8</v>
      </c>
      <c r="G9" s="2">
        <v>0</v>
      </c>
      <c r="H9" s="2">
        <v>0</v>
      </c>
      <c r="I9" s="2">
        <v>0</v>
      </c>
      <c r="J9" s="2">
        <v>0</v>
      </c>
      <c r="K9" s="2">
        <v>0</v>
      </c>
      <c r="L9" s="2">
        <v>0</v>
      </c>
      <c r="M9" s="2">
        <v>1</v>
      </c>
      <c r="N9" s="18" cm="1">
        <f t="array" ref="N9">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135</v>
      </c>
      <c r="P9" s="2" t="s">
        <v>23</v>
      </c>
      <c r="Q9" s="2">
        <v>0</v>
      </c>
      <c r="R9" s="2">
        <v>0</v>
      </c>
      <c r="S9" s="2">
        <v>0</v>
      </c>
      <c r="T9" s="2">
        <v>0</v>
      </c>
      <c r="U9" s="2">
        <v>0</v>
      </c>
      <c r="V9" s="3">
        <v>0</v>
      </c>
      <c r="W9" s="2">
        <v>0</v>
      </c>
      <c r="X9" s="2">
        <v>1</v>
      </c>
      <c r="Y9" s="2">
        <v>0</v>
      </c>
      <c r="Z9" s="2">
        <v>1</v>
      </c>
      <c r="AA9" s="18" cm="1">
        <f t="array" ref="AA9">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20</v>
      </c>
    </row>
    <row r="10" spans="1:29" ht="35.1" customHeight="1">
      <c r="A10" s="2" t="s">
        <v>24</v>
      </c>
      <c r="B10" s="2">
        <v>0</v>
      </c>
      <c r="C10" s="2">
        <v>0</v>
      </c>
      <c r="D10" s="2">
        <v>0</v>
      </c>
      <c r="E10" s="2">
        <v>0</v>
      </c>
      <c r="F10" s="2">
        <v>3.5</v>
      </c>
      <c r="G10" s="2">
        <v>0</v>
      </c>
      <c r="H10" s="2">
        <v>0</v>
      </c>
      <c r="I10" s="2">
        <v>0</v>
      </c>
      <c r="J10" s="2">
        <v>0</v>
      </c>
      <c r="K10" s="2">
        <v>0</v>
      </c>
      <c r="L10" s="2">
        <v>0</v>
      </c>
      <c r="M10" s="2">
        <v>0</v>
      </c>
      <c r="N10" s="18" cm="1">
        <f t="array" ref="N10">SUM(Table214141851617[[#This Row],[CS224n Project]:[CS234 project]]*10, Table214141851617[[#This Row],[CS224n studying &amp;
past assignments]:[Math 104 Studying &amp;
past assignments]]*15, Table214141851617[[#This Row],[Wake up at 10:30
sleep at 2]]*15, Table214141851617[[#This Row],[P]]*15, Table214141851617[[#This Row],[gym ]]*15+Table214141851617[[#This Row],[Recording]]*10, Table214141851617[[#This Row],[Squash]]*15, Table214141851617[[#This Row],[Summer Apps]]*10, Table214141851617[[#This Row],[Leetcode design
Leetcode algorithm]]*15)</f>
        <v>52.5</v>
      </c>
      <c r="P10" s="2" t="s">
        <v>24</v>
      </c>
      <c r="Q10" s="2">
        <v>0</v>
      </c>
      <c r="R10" s="2">
        <v>0</v>
      </c>
      <c r="S10" s="2">
        <v>0</v>
      </c>
      <c r="T10" s="2">
        <v>0</v>
      </c>
      <c r="U10" s="2">
        <v>0</v>
      </c>
      <c r="V10" s="3">
        <v>0</v>
      </c>
      <c r="W10" s="2">
        <v>0</v>
      </c>
      <c r="X10" s="2">
        <v>0</v>
      </c>
      <c r="Y10" s="2">
        <v>0</v>
      </c>
      <c r="Z10" s="2">
        <v>1</v>
      </c>
      <c r="AA10" s="18" cm="1">
        <f t="array" ref="AA10">SUM(Table2613122197[[#This Row],[Endo]:[RBS]]*15, Table2613122197[[#This Row],[Work &amp; Reading]]*10,Table2613122197[[#This Row],[Gym]]*10,Table2613122197[[#This Row],[45 min Cardio]]*10,Table2613122197[[#This Row],[Cut &amp; Hydration]]*15,Table2613122197[[#This Row],[Negida Academy]]*10, Table2613122197[[#This Row],[P]]*10, Table2613122197[[#This Row],[Quit Scrollling]]*10)</f>
        <v>10</v>
      </c>
    </row>
    <row r="11" spans="1:29" ht="35.1" customHeight="1">
      <c r="A11" s="2" t="s">
        <v>25</v>
      </c>
      <c r="B11" s="3">
        <f>SUM(B4:B10)</f>
        <v>9.25</v>
      </c>
      <c r="C11" s="3">
        <f t="shared" ref="C11:M11" si="0">SUM(C4:C10)</f>
        <v>2</v>
      </c>
      <c r="D11" s="3">
        <f t="shared" si="0"/>
        <v>0</v>
      </c>
      <c r="E11" s="3">
        <f>SUM(E4:E10)</f>
        <v>0</v>
      </c>
      <c r="F11" s="3">
        <f>SUM(F4:F10)</f>
        <v>23.25</v>
      </c>
      <c r="G11" s="3">
        <f>SUM(G4:G10)</f>
        <v>0.75</v>
      </c>
      <c r="H11" s="3">
        <f>SUM(H4:H10)</f>
        <v>0</v>
      </c>
      <c r="I11" s="3">
        <f>SUM(I4:I10)</f>
        <v>0</v>
      </c>
      <c r="J11" s="3">
        <f t="shared" ref="J11:K11" si="1">SUM(J4:J10)</f>
        <v>2</v>
      </c>
      <c r="K11" s="3">
        <f t="shared" si="1"/>
        <v>1</v>
      </c>
      <c r="L11" s="3">
        <f t="shared" si="0"/>
        <v>1</v>
      </c>
      <c r="M11" s="3">
        <f t="shared" si="0"/>
        <v>4</v>
      </c>
      <c r="N11" s="18">
        <f>ROUND(SUM(N4:N10)/7, 0)</f>
        <v>84</v>
      </c>
      <c r="P11" s="2" t="s">
        <v>25</v>
      </c>
      <c r="Q11" s="3">
        <f t="shared" ref="Q11:R11" si="2">SUM(Q4:Q10)</f>
        <v>3</v>
      </c>
      <c r="R11" s="3">
        <f t="shared" si="2"/>
        <v>2</v>
      </c>
      <c r="S11" s="3">
        <f>SUM(S4:S10)</f>
        <v>0</v>
      </c>
      <c r="T11" s="3">
        <f>SUM(T4:T10)</f>
        <v>0</v>
      </c>
      <c r="U11" s="3">
        <f>SUM(U4:U10)</f>
        <v>0.5</v>
      </c>
      <c r="V11" s="3">
        <f>SUM(V4:V10)</f>
        <v>2</v>
      </c>
      <c r="W11" s="3">
        <f>SUM(W4:W10)</f>
        <v>5</v>
      </c>
      <c r="X11" s="3">
        <f t="shared" ref="X11" si="3">SUM(X4:X10)</f>
        <v>6</v>
      </c>
      <c r="Y11" s="3">
        <f>SUM(Y4:Y10)</f>
        <v>1</v>
      </c>
      <c r="Z11" s="3">
        <f>SUM(Z4:Z10)</f>
        <v>5</v>
      </c>
      <c r="AA11" s="18">
        <f>ROUND(SUM(AA4:AA10)/7,0)</f>
        <v>42</v>
      </c>
    </row>
    <row r="12" spans="1:29" ht="35.1" customHeight="1">
      <c r="A12" s="23" t="s">
        <v>63</v>
      </c>
      <c r="B12" s="24" t="s">
        <v>64</v>
      </c>
      <c r="C12" s="24"/>
      <c r="D12" s="24"/>
      <c r="E12" s="24"/>
      <c r="F12" s="24"/>
      <c r="G12" s="24"/>
      <c r="H12" s="24"/>
      <c r="I12" s="24"/>
      <c r="J12" s="24"/>
      <c r="K12" s="24"/>
      <c r="L12" s="24"/>
      <c r="M12" s="24"/>
      <c r="N12" s="24"/>
      <c r="Q12" s="24" t="s">
        <v>65</v>
      </c>
      <c r="R12" s="24"/>
      <c r="S12" s="24"/>
      <c r="T12" s="24"/>
      <c r="U12" s="24"/>
      <c r="V12" s="24"/>
      <c r="W12" s="24"/>
      <c r="X12" s="24"/>
      <c r="Y12" s="24"/>
      <c r="Z12" s="24"/>
      <c r="AA12" s="24"/>
      <c r="AB12" s="24"/>
      <c r="AC12" s="24"/>
    </row>
    <row r="13" spans="1:29" ht="288" customHeight="1">
      <c r="A13" s="19"/>
      <c r="B13" s="24"/>
      <c r="C13" s="24"/>
      <c r="D13" s="24"/>
      <c r="E13" s="24"/>
      <c r="F13" s="24"/>
      <c r="G13" s="24"/>
      <c r="H13" s="24"/>
      <c r="I13" s="24"/>
      <c r="J13" s="24"/>
      <c r="K13" s="24"/>
      <c r="L13" s="24"/>
      <c r="M13" s="24"/>
      <c r="N13" s="24"/>
      <c r="P13" s="23" t="s">
        <v>63</v>
      </c>
      <c r="Q13" s="24"/>
      <c r="R13" s="24"/>
      <c r="S13" s="24"/>
      <c r="T13" s="24"/>
      <c r="U13" s="24"/>
      <c r="V13" s="24"/>
      <c r="W13" s="24"/>
      <c r="X13" s="24"/>
      <c r="Y13" s="24"/>
      <c r="Z13" s="24"/>
      <c r="AA13" s="24"/>
      <c r="AB13" s="24"/>
      <c r="AC13" s="24"/>
    </row>
    <row r="14" spans="1:29" ht="24.95" customHeight="1">
      <c r="A14" s="17"/>
      <c r="B14" s="17"/>
      <c r="C14" s="17"/>
      <c r="D14" s="17"/>
      <c r="E14" s="17"/>
      <c r="F14" s="17"/>
      <c r="P14" s="23"/>
      <c r="Q14" s="24"/>
      <c r="R14" s="24"/>
      <c r="S14" s="24"/>
      <c r="T14" s="24"/>
      <c r="U14" s="24"/>
      <c r="V14" s="24"/>
      <c r="W14" s="24"/>
      <c r="X14" s="24"/>
      <c r="Y14" s="24"/>
      <c r="Z14" s="24"/>
      <c r="AA14" s="24"/>
      <c r="AB14" s="24"/>
      <c r="AC14" s="24"/>
    </row>
    <row r="15" spans="1:29" ht="24.95" customHeight="1">
      <c r="A15" s="12"/>
      <c r="B15" s="12"/>
      <c r="C15" s="17"/>
      <c r="D15" s="17"/>
      <c r="E15" s="17"/>
      <c r="F15" s="17"/>
      <c r="P15" s="14"/>
      <c r="Q15" s="14"/>
      <c r="R15" s="14"/>
      <c r="S15" s="14"/>
      <c r="T15" s="14"/>
      <c r="U15" s="14"/>
      <c r="V15" s="14"/>
      <c r="W15" s="14"/>
      <c r="X15" s="14"/>
      <c r="Y15" s="14"/>
      <c r="Z15" s="14"/>
      <c r="AA15" s="14"/>
      <c r="AB15" s="14"/>
    </row>
    <row r="16" spans="1:29">
      <c r="P16" s="14"/>
      <c r="Q16" s="14"/>
      <c r="R16" s="14"/>
      <c r="S16" s="14"/>
      <c r="T16" s="14"/>
      <c r="U16" s="14"/>
      <c r="V16" s="14"/>
      <c r="W16" s="14"/>
      <c r="X16" s="14"/>
      <c r="Y16" s="14"/>
      <c r="Z16" s="14"/>
      <c r="AA16" s="14"/>
      <c r="AB16" s="14"/>
    </row>
    <row r="24" spans="18:18">
      <c r="R24" s="15"/>
    </row>
  </sheetData>
  <mergeCells count="6">
    <mergeCell ref="Q12:AC14"/>
    <mergeCell ref="A1:A2"/>
    <mergeCell ref="A12:A13"/>
    <mergeCell ref="B12:N13"/>
    <mergeCell ref="P1:P2"/>
    <mergeCell ref="P13:P14"/>
  </mergeCells>
  <conditionalFormatting sqref="B5:K10">
    <cfRule type="colorScale" priority="6">
      <colorScale>
        <cfvo type="num" val="0"/>
        <cfvo type="percentile" val="50"/>
        <cfvo type="num" val="4"/>
        <color theme="7" tint="0.79998168889431442"/>
        <color theme="9" tint="0.39997558519241921"/>
        <color theme="9" tint="-0.249977111117893"/>
      </colorScale>
    </cfRule>
  </conditionalFormatting>
  <conditionalFormatting sqref="B4:M4 L5:M10">
    <cfRule type="colorScale" priority="1">
      <colorScale>
        <cfvo type="num" val="0"/>
        <cfvo type="percentile" val="50"/>
        <cfvo type="num" val="4"/>
        <color theme="7" tint="0.79998168889431442"/>
        <color theme="9" tint="0.39997558519241921"/>
        <color theme="9" tint="-0.249977111117893"/>
      </colorScale>
    </cfRule>
    <cfRule type="colorScale" priority="2">
      <colorScale>
        <cfvo type="num" val="0"/>
        <cfvo type="percentile" val="50"/>
        <cfvo type="num" val="100"/>
        <color theme="7" tint="0.79998168889431442"/>
        <color theme="9" tint="0.39997558519241921"/>
        <color theme="9" tint="-0.499984740745262"/>
      </colorScale>
    </cfRule>
  </conditionalFormatting>
  <conditionalFormatting sqref="B11:M11 B5:K10">
    <cfRule type="colorScale" priority="7">
      <colorScale>
        <cfvo type="num" val="0"/>
        <cfvo type="percentile" val="50"/>
        <cfvo type="num" val="100"/>
        <color theme="7" tint="0.79998168889431442"/>
        <color theme="9" tint="0.39997558519241921"/>
        <color theme="9" tint="-0.499984740745262"/>
      </colorScale>
    </cfRule>
  </conditionalFormatting>
  <conditionalFormatting sqref="B11:M11">
    <cfRule type="colorScale" priority="5">
      <colorScale>
        <cfvo type="num" val="0"/>
        <cfvo type="percentile" val="50"/>
        <cfvo type="num" val="15"/>
        <color theme="7" tint="0.79998168889431442"/>
        <color theme="9" tint="0.59999389629810485"/>
        <color theme="9"/>
      </colorScale>
    </cfRule>
  </conditionalFormatting>
  <conditionalFormatting sqref="N4:N11">
    <cfRule type="colorScale" priority="3">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conditionalFormatting sqref="Q4:Z10">
    <cfRule type="colorScale" priority="11">
      <colorScale>
        <cfvo type="num" val="0"/>
        <cfvo type="percentile" val="50"/>
        <cfvo type="num" val="4"/>
        <color theme="7" tint="0.79998168889431442"/>
        <color theme="9" tint="0.39997558519241921"/>
        <color theme="9" tint="-0.249977111117893"/>
      </colorScale>
    </cfRule>
  </conditionalFormatting>
  <conditionalFormatting sqref="Q4:Z11">
    <cfRule type="colorScale" priority="12">
      <colorScale>
        <cfvo type="num" val="0"/>
        <cfvo type="percentile" val="50"/>
        <cfvo type="num" val="100"/>
        <color theme="7" tint="0.79998168889431442"/>
        <color theme="9" tint="0.39997558519241921"/>
        <color theme="9" tint="-0.499984740745262"/>
      </colorScale>
    </cfRule>
  </conditionalFormatting>
  <conditionalFormatting sqref="Q11:Z11 V4:V10">
    <cfRule type="colorScale" priority="10">
      <colorScale>
        <cfvo type="num" val="0"/>
        <cfvo type="percentile" val="50"/>
        <cfvo type="num" val="15"/>
        <color theme="7" tint="0.79998168889431442"/>
        <color theme="9" tint="0.59999389629810485"/>
        <color theme="9"/>
      </colorScale>
    </cfRule>
  </conditionalFormatting>
  <conditionalFormatting sqref="AA4:AA11">
    <cfRule type="colorScale" priority="8">
      <colorScale>
        <cfvo type="num" val="0"/>
        <cfvo type="percentile" val="50"/>
        <cfvo type="num" val="100"/>
        <color theme="7" tint="0.79998168889431442"/>
        <color theme="9" tint="0.79998168889431442"/>
        <color theme="9"/>
      </colorScale>
    </cfRule>
    <cfRule type="colorScale" priority="9">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3D84-3A67-4A02-99BA-CB018EFF9C99}">
  <dimension ref="A1:Z13"/>
  <sheetViews>
    <sheetView topLeftCell="H1" zoomScale="82" zoomScaleNormal="265" workbookViewId="0">
      <selection activeCell="N13" sqref="N13"/>
    </sheetView>
  </sheetViews>
  <sheetFormatPr defaultRowHeight="15"/>
  <cols>
    <col min="1" max="13" width="25.7109375" customWidth="1"/>
    <col min="15" max="26" width="20.7109375" customWidth="1"/>
  </cols>
  <sheetData>
    <row r="1" spans="1:26" ht="30" customHeight="1">
      <c r="A1" s="19" t="s">
        <v>0</v>
      </c>
      <c r="B1" s="12" t="s">
        <v>54</v>
      </c>
      <c r="C1" s="12"/>
      <c r="D1" s="12"/>
      <c r="E1" s="12"/>
      <c r="F1" s="12"/>
      <c r="G1" s="12"/>
      <c r="H1" s="12"/>
      <c r="I1" s="12"/>
      <c r="J1" s="12"/>
      <c r="K1" s="12"/>
      <c r="L1" s="12"/>
      <c r="M1" s="12"/>
      <c r="O1" s="19" t="s">
        <v>1</v>
      </c>
      <c r="P1" s="17"/>
      <c r="Q1" s="17"/>
      <c r="R1" s="17"/>
      <c r="S1" s="17"/>
      <c r="T1" s="17"/>
      <c r="U1" s="17"/>
      <c r="V1" s="17"/>
    </row>
    <row r="2" spans="1:26" ht="30" customHeight="1">
      <c r="A2" s="19"/>
      <c r="B2" s="12"/>
      <c r="C2" s="12"/>
      <c r="D2" s="12"/>
      <c r="E2" s="12"/>
      <c r="F2" s="12"/>
      <c r="G2" s="12"/>
      <c r="H2" s="12"/>
      <c r="I2" s="12"/>
      <c r="J2" s="12"/>
      <c r="K2" s="12"/>
      <c r="L2" s="12"/>
      <c r="M2" s="12"/>
      <c r="O2" s="19"/>
      <c r="P2" s="17"/>
      <c r="Q2" s="17"/>
      <c r="R2" s="17"/>
      <c r="S2" s="17"/>
      <c r="T2" s="17"/>
      <c r="U2" s="17"/>
      <c r="V2" s="17"/>
    </row>
    <row r="3" spans="1:26" ht="30" customHeight="1">
      <c r="A3" s="1" t="s">
        <v>2</v>
      </c>
      <c r="B3" s="10" t="s">
        <v>66</v>
      </c>
      <c r="C3" s="10" t="s">
        <v>67</v>
      </c>
      <c r="D3" s="10" t="s">
        <v>44</v>
      </c>
      <c r="E3" s="10" t="s">
        <v>68</v>
      </c>
      <c r="F3" s="10" t="s">
        <v>48</v>
      </c>
      <c r="G3" s="1" t="s">
        <v>7</v>
      </c>
      <c r="H3" s="1" t="s">
        <v>30</v>
      </c>
      <c r="I3" s="1" t="s">
        <v>9</v>
      </c>
      <c r="J3" s="1" t="s">
        <v>69</v>
      </c>
      <c r="K3" s="10" t="s">
        <v>31</v>
      </c>
      <c r="L3" s="1" t="s">
        <v>10</v>
      </c>
      <c r="M3" s="1" t="s">
        <v>11</v>
      </c>
      <c r="O3" s="1" t="s">
        <v>61</v>
      </c>
      <c r="P3" s="1" t="s">
        <v>12</v>
      </c>
      <c r="Q3" s="1" t="s">
        <v>32</v>
      </c>
      <c r="R3" s="1" t="s">
        <v>14</v>
      </c>
      <c r="S3" s="1" t="s">
        <v>55</v>
      </c>
      <c r="T3" s="1" t="s">
        <v>49</v>
      </c>
      <c r="U3" s="1" t="s">
        <v>16</v>
      </c>
      <c r="V3" s="1" t="s">
        <v>56</v>
      </c>
      <c r="W3" s="1" t="s">
        <v>62</v>
      </c>
      <c r="X3" s="1" t="s">
        <v>70</v>
      </c>
      <c r="Y3" s="1" t="s">
        <v>10</v>
      </c>
      <c r="Z3" s="1" t="s">
        <v>11</v>
      </c>
    </row>
    <row r="4" spans="1:26" ht="30" customHeight="1">
      <c r="A4" s="2" t="s">
        <v>18</v>
      </c>
      <c r="B4" s="2">
        <v>0</v>
      </c>
      <c r="C4" s="2">
        <v>0</v>
      </c>
      <c r="D4" s="2">
        <v>0</v>
      </c>
      <c r="E4" s="2">
        <v>0</v>
      </c>
      <c r="F4" s="2">
        <v>0</v>
      </c>
      <c r="G4" s="2">
        <v>0</v>
      </c>
      <c r="H4" s="2">
        <v>1</v>
      </c>
      <c r="I4" s="2">
        <v>0</v>
      </c>
      <c r="J4" s="2">
        <v>0</v>
      </c>
      <c r="K4" s="2">
        <v>0</v>
      </c>
      <c r="L4" s="2">
        <v>1</v>
      </c>
      <c r="M4"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30</v>
      </c>
      <c r="O4" s="2" t="s">
        <v>18</v>
      </c>
      <c r="P4" s="2">
        <v>1</v>
      </c>
      <c r="Q4" s="2">
        <v>1</v>
      </c>
      <c r="R4" s="2">
        <v>0</v>
      </c>
      <c r="S4" s="2">
        <v>0</v>
      </c>
      <c r="T4" s="2">
        <v>0</v>
      </c>
      <c r="U4" s="3">
        <v>0</v>
      </c>
      <c r="V4" s="11">
        <v>1</v>
      </c>
      <c r="W4" s="11">
        <v>1</v>
      </c>
      <c r="X4" s="11">
        <v>0</v>
      </c>
      <c r="Y4" s="11">
        <v>1</v>
      </c>
      <c r="Z4" s="18" cm="1">
        <f t="array" ref="Z4">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65</v>
      </c>
    </row>
    <row r="5" spans="1:26" ht="30" customHeight="1">
      <c r="A5" s="2" t="s">
        <v>19</v>
      </c>
      <c r="B5" s="2">
        <v>0</v>
      </c>
      <c r="C5" s="2">
        <v>0</v>
      </c>
      <c r="D5" s="2">
        <v>0</v>
      </c>
      <c r="E5" s="2">
        <v>0</v>
      </c>
      <c r="F5" s="2">
        <v>0</v>
      </c>
      <c r="G5" s="2">
        <v>0</v>
      </c>
      <c r="H5" s="2">
        <v>0</v>
      </c>
      <c r="I5" s="2">
        <v>0</v>
      </c>
      <c r="J5" s="2">
        <v>0</v>
      </c>
      <c r="K5" s="2">
        <v>0</v>
      </c>
      <c r="L5" s="2">
        <v>0</v>
      </c>
      <c r="M5"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0</v>
      </c>
      <c r="O5" s="2" t="s">
        <v>19</v>
      </c>
      <c r="P5" s="2">
        <v>3</v>
      </c>
      <c r="Q5" s="2">
        <v>2</v>
      </c>
      <c r="R5" s="2">
        <v>0</v>
      </c>
      <c r="S5" s="2">
        <v>0</v>
      </c>
      <c r="T5" s="2">
        <v>0</v>
      </c>
      <c r="U5" s="3">
        <v>0</v>
      </c>
      <c r="V5" s="2">
        <v>1</v>
      </c>
      <c r="W5" s="2">
        <v>0</v>
      </c>
      <c r="X5" s="2">
        <v>0</v>
      </c>
      <c r="Y5" s="2">
        <v>1</v>
      </c>
      <c r="Z5" s="18" cm="1">
        <f t="array" ref="Z5">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100</v>
      </c>
    </row>
    <row r="6" spans="1:26" ht="30" customHeight="1">
      <c r="A6" s="2" t="s">
        <v>20</v>
      </c>
      <c r="B6" s="2">
        <v>2</v>
      </c>
      <c r="C6" s="2">
        <v>0</v>
      </c>
      <c r="D6" s="2">
        <v>0</v>
      </c>
      <c r="E6" s="2">
        <v>0</v>
      </c>
      <c r="F6" s="2">
        <v>0</v>
      </c>
      <c r="G6" s="2">
        <v>0</v>
      </c>
      <c r="H6" s="2">
        <v>1</v>
      </c>
      <c r="I6" s="2">
        <v>0</v>
      </c>
      <c r="J6" s="2">
        <v>0</v>
      </c>
      <c r="K6" s="2">
        <v>0</v>
      </c>
      <c r="L6" s="2">
        <v>1</v>
      </c>
      <c r="M6"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50</v>
      </c>
      <c r="O6" s="2" t="s">
        <v>20</v>
      </c>
      <c r="P6" s="2">
        <v>0</v>
      </c>
      <c r="Q6" s="2">
        <v>0</v>
      </c>
      <c r="R6" s="2">
        <v>0</v>
      </c>
      <c r="S6" s="2">
        <v>0</v>
      </c>
      <c r="T6" s="2">
        <v>0</v>
      </c>
      <c r="U6" s="3">
        <v>0</v>
      </c>
      <c r="V6" s="13">
        <v>1</v>
      </c>
      <c r="W6" s="2">
        <v>0</v>
      </c>
      <c r="X6" s="2">
        <v>0</v>
      </c>
      <c r="Y6" s="11">
        <v>1</v>
      </c>
      <c r="Z6" s="18" cm="1">
        <f t="array" ref="Z6">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25</v>
      </c>
    </row>
    <row r="7" spans="1:26" ht="30" customHeight="1">
      <c r="A7" s="2" t="s">
        <v>21</v>
      </c>
      <c r="B7" s="2">
        <v>0</v>
      </c>
      <c r="C7" s="2">
        <v>0</v>
      </c>
      <c r="D7" s="2">
        <v>0</v>
      </c>
      <c r="E7" s="2">
        <v>0</v>
      </c>
      <c r="F7" s="2">
        <v>0</v>
      </c>
      <c r="G7" s="2">
        <v>0</v>
      </c>
      <c r="H7" s="2">
        <v>1</v>
      </c>
      <c r="I7" s="2">
        <v>0</v>
      </c>
      <c r="J7" s="2">
        <v>0</v>
      </c>
      <c r="K7" s="2">
        <v>0</v>
      </c>
      <c r="L7" s="2">
        <v>0</v>
      </c>
      <c r="M7"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15</v>
      </c>
      <c r="O7" s="2" t="s">
        <v>21</v>
      </c>
      <c r="P7" s="16">
        <v>3.75</v>
      </c>
      <c r="Q7" s="2">
        <v>3</v>
      </c>
      <c r="R7" s="2">
        <v>0</v>
      </c>
      <c r="S7" s="2">
        <v>0</v>
      </c>
      <c r="T7" s="2">
        <v>0</v>
      </c>
      <c r="U7" s="3">
        <v>0</v>
      </c>
      <c r="V7" s="2">
        <v>0</v>
      </c>
      <c r="W7" s="2">
        <v>0</v>
      </c>
      <c r="X7" s="2">
        <v>0</v>
      </c>
      <c r="Y7" s="11">
        <v>1</v>
      </c>
      <c r="Z7" s="18" cm="1">
        <f t="array" ref="Z7">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111.25</v>
      </c>
    </row>
    <row r="8" spans="1:26" ht="30" customHeight="1">
      <c r="A8" s="2" t="s">
        <v>22</v>
      </c>
      <c r="B8" s="2">
        <v>0</v>
      </c>
      <c r="C8" s="2">
        <v>0</v>
      </c>
      <c r="D8" s="2">
        <v>0</v>
      </c>
      <c r="E8" s="2">
        <v>0</v>
      </c>
      <c r="F8" s="2">
        <v>0</v>
      </c>
      <c r="G8" s="2">
        <v>0</v>
      </c>
      <c r="H8" s="2">
        <v>0</v>
      </c>
      <c r="I8" s="2">
        <v>0</v>
      </c>
      <c r="J8" s="2">
        <v>0</v>
      </c>
      <c r="K8" s="2">
        <v>0.5</v>
      </c>
      <c r="L8" s="2">
        <v>1</v>
      </c>
      <c r="M8"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22.5</v>
      </c>
      <c r="O8" s="2" t="s">
        <v>22</v>
      </c>
      <c r="P8" s="2">
        <v>2</v>
      </c>
      <c r="Q8" s="2">
        <v>1</v>
      </c>
      <c r="R8" s="2">
        <v>0</v>
      </c>
      <c r="S8" s="2">
        <v>0</v>
      </c>
      <c r="T8" s="2">
        <v>0</v>
      </c>
      <c r="U8" s="3">
        <v>0</v>
      </c>
      <c r="V8" s="2">
        <v>0</v>
      </c>
      <c r="W8" s="2">
        <v>0</v>
      </c>
      <c r="X8" s="2">
        <v>0</v>
      </c>
      <c r="Y8" s="2">
        <v>1</v>
      </c>
      <c r="Z8" s="18" cm="1">
        <f t="array" ref="Z8">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55</v>
      </c>
    </row>
    <row r="9" spans="1:26" ht="30" customHeight="1">
      <c r="A9" s="2" t="s">
        <v>23</v>
      </c>
      <c r="B9" s="2">
        <v>0</v>
      </c>
      <c r="C9" s="2">
        <v>0</v>
      </c>
      <c r="D9" s="2">
        <v>0</v>
      </c>
      <c r="E9" s="2">
        <v>0</v>
      </c>
      <c r="F9" s="2">
        <v>0</v>
      </c>
      <c r="G9" s="2">
        <v>0</v>
      </c>
      <c r="H9" s="2">
        <v>0</v>
      </c>
      <c r="I9" s="2">
        <v>1</v>
      </c>
      <c r="J9" s="2">
        <v>0</v>
      </c>
      <c r="K9" s="2">
        <v>0</v>
      </c>
      <c r="L9" s="2">
        <v>1</v>
      </c>
      <c r="M9"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30</v>
      </c>
      <c r="O9" s="2" t="s">
        <v>23</v>
      </c>
      <c r="P9" s="2">
        <v>4</v>
      </c>
      <c r="Q9" s="2">
        <v>3</v>
      </c>
      <c r="R9" s="2">
        <v>0</v>
      </c>
      <c r="S9" s="2">
        <v>0</v>
      </c>
      <c r="T9" s="2">
        <v>0</v>
      </c>
      <c r="U9" s="3">
        <v>0</v>
      </c>
      <c r="V9" s="2">
        <v>0</v>
      </c>
      <c r="W9" s="2">
        <v>0</v>
      </c>
      <c r="X9" s="2">
        <v>1</v>
      </c>
      <c r="Y9" s="2">
        <v>1</v>
      </c>
      <c r="Z9" s="18" cm="1">
        <f t="array" ref="Z9">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125</v>
      </c>
    </row>
    <row r="10" spans="1:26" ht="30" customHeight="1">
      <c r="A10" s="2" t="s">
        <v>24</v>
      </c>
      <c r="B10" s="2">
        <v>0</v>
      </c>
      <c r="C10" s="2">
        <v>0</v>
      </c>
      <c r="D10" s="2">
        <v>0</v>
      </c>
      <c r="E10" s="2">
        <v>0</v>
      </c>
      <c r="F10" s="2">
        <v>0</v>
      </c>
      <c r="G10" s="2">
        <v>0</v>
      </c>
      <c r="H10" s="2">
        <v>0</v>
      </c>
      <c r="I10" s="2">
        <v>0</v>
      </c>
      <c r="J10" s="2">
        <v>0</v>
      </c>
      <c r="K10" s="2">
        <v>0</v>
      </c>
      <c r="L10" s="2">
        <v>0</v>
      </c>
      <c r="M10" s="18">
        <f>SUM(Table21414185161720[[#This Row],[LabCast Studying]]*15, Table21414185161720[[#This Row],[Math Problem Solving]]*15,Table21414185161720[[#This Row],[LabCast]]*10, Table21414185161720[[#This Row],[Wake up at 10:30
sleep at 2]]*15, Table21414185161720[[#This Row],[P]]*15, Table21414185161720[[#This Row],[gym ]]*15+Table21414185161720[[#This Row],[Recording]]*10, Table21414185161720[[#This Row],[Squash]]*15, Table21414185161720[[#This Row],[Summer Apps]]*10, Table21414185161720[[#This Row],[Leetcode design
Leetcode algorithm]]*15, Table21414185161720[[#This Row],[Screentime &lt; 2 hrs]]*10)</f>
        <v>0</v>
      </c>
      <c r="O10" s="2" t="s">
        <v>24</v>
      </c>
      <c r="P10" s="2">
        <v>4</v>
      </c>
      <c r="Q10" s="2">
        <v>4</v>
      </c>
      <c r="R10" s="2">
        <v>0</v>
      </c>
      <c r="S10" s="2">
        <v>0</v>
      </c>
      <c r="T10" s="2">
        <v>0</v>
      </c>
      <c r="U10" s="3">
        <v>0</v>
      </c>
      <c r="V10" s="2">
        <v>0</v>
      </c>
      <c r="W10" s="2">
        <v>1</v>
      </c>
      <c r="X10" s="2">
        <v>1</v>
      </c>
      <c r="Y10" s="2">
        <v>1</v>
      </c>
      <c r="Z10" s="18" cm="1">
        <f t="array" ref="Z10">SUM(Table26131221978[[#This Row],[Endo]:[RBS]]*15, Table26131221978[[#This Row],[Work &amp; Reading]]*10,Table26131221978[[#This Row],[Gym]]*10,Table26131221978[[#This Row],[45 min Cardio]]*10,Table26131221978[[#This Row],[Cut &amp; Hydration]]*15,Table26131221978[[#This Row],[Negida Academy]]*10, Table26131221978[[#This Row],[P]]*10, Table26131221978[[#This Row],[quit scrolling]]*10)</f>
        <v>150</v>
      </c>
    </row>
    <row r="11" spans="1:26" ht="30" customHeight="1">
      <c r="A11" s="2" t="s">
        <v>25</v>
      </c>
      <c r="B11" s="3">
        <f t="shared" ref="B11:G11" si="0">SUM(B4:B10)</f>
        <v>2</v>
      </c>
      <c r="C11" s="3">
        <f t="shared" si="0"/>
        <v>0</v>
      </c>
      <c r="D11" s="3">
        <f t="shared" si="0"/>
        <v>0</v>
      </c>
      <c r="E11" s="3">
        <f t="shared" si="0"/>
        <v>0</v>
      </c>
      <c r="F11" s="3">
        <f t="shared" si="0"/>
        <v>0</v>
      </c>
      <c r="G11" s="3">
        <f t="shared" si="0"/>
        <v>0</v>
      </c>
      <c r="H11" s="3">
        <f t="shared" ref="H11:J11" si="1">SUM(H4:H10)</f>
        <v>3</v>
      </c>
      <c r="I11" s="3">
        <f t="shared" si="1"/>
        <v>1</v>
      </c>
      <c r="J11" s="3">
        <f t="shared" si="1"/>
        <v>0</v>
      </c>
      <c r="K11" s="3">
        <f t="shared" ref="K11:L11" si="2">SUM(K4:K10)</f>
        <v>0.5</v>
      </c>
      <c r="L11" s="3">
        <f t="shared" si="2"/>
        <v>4</v>
      </c>
      <c r="M11" s="18">
        <f>ROUND(SUM(M4:M10)/7, 0)</f>
        <v>21</v>
      </c>
      <c r="O11" s="2" t="s">
        <v>25</v>
      </c>
      <c r="P11" s="3">
        <v>17.75</v>
      </c>
      <c r="Q11" s="3">
        <f t="shared" ref="Q11" si="3">SUM(Q4:Q10)</f>
        <v>14</v>
      </c>
      <c r="R11" s="3">
        <f>SUM(R4:R10)</f>
        <v>0</v>
      </c>
      <c r="S11" s="3">
        <f>SUM(S4:S10)</f>
        <v>0</v>
      </c>
      <c r="T11" s="3">
        <f>SUM(T4:T10)</f>
        <v>0</v>
      </c>
      <c r="U11" s="3">
        <f>SUM(U4:U10)</f>
        <v>0</v>
      </c>
      <c r="V11" s="3">
        <f>SUM(V4:V10)</f>
        <v>3</v>
      </c>
      <c r="W11" s="3">
        <f t="shared" ref="W11" si="4">SUM(W4:W10)</f>
        <v>2</v>
      </c>
      <c r="X11" s="3">
        <f>SUM(X4:X10)</f>
        <v>2</v>
      </c>
      <c r="Y11" s="3">
        <f>SUM(Y4:Y10)</f>
        <v>7</v>
      </c>
      <c r="Z11" s="18">
        <f>ROUND(SUM(Z4:Z10)/7,0)</f>
        <v>90</v>
      </c>
    </row>
    <row r="12" spans="1:26" ht="24.95" customHeight="1">
      <c r="A12" s="23" t="s">
        <v>63</v>
      </c>
      <c r="B12" s="24" t="s">
        <v>71</v>
      </c>
      <c r="C12" s="24"/>
      <c r="D12" s="24"/>
      <c r="E12" s="24"/>
      <c r="F12" s="24"/>
      <c r="G12" s="24"/>
      <c r="H12" s="24"/>
      <c r="I12" s="24"/>
      <c r="J12" s="24"/>
      <c r="K12" s="24"/>
      <c r="L12" s="24"/>
      <c r="M12" s="24"/>
    </row>
    <row r="13" spans="1:26" ht="240" customHeight="1">
      <c r="A13" s="19"/>
      <c r="B13" s="24"/>
      <c r="C13" s="24"/>
      <c r="D13" s="24"/>
      <c r="E13" s="24"/>
      <c r="F13" s="24"/>
      <c r="G13" s="24"/>
      <c r="H13" s="24"/>
      <c r="I13" s="24"/>
      <c r="J13" s="24"/>
      <c r="K13" s="24"/>
      <c r="L13" s="24"/>
      <c r="M13" s="24"/>
    </row>
  </sheetData>
  <mergeCells count="4">
    <mergeCell ref="O1:O2"/>
    <mergeCell ref="A1:A2"/>
    <mergeCell ref="A12:A13"/>
    <mergeCell ref="B12:M13"/>
  </mergeCells>
  <conditionalFormatting sqref="C5:E10 B4:L4 I5:L10">
    <cfRule type="colorScale" priority="1">
      <colorScale>
        <cfvo type="num" val="0"/>
        <cfvo type="percentile" val="50"/>
        <cfvo type="num" val="4"/>
        <color theme="7" tint="0.79998168889431442"/>
        <color theme="9" tint="0.39997558519241921"/>
        <color theme="9" tint="-0.249977111117893"/>
      </colorScale>
    </cfRule>
    <cfRule type="colorScale" priority="2">
      <colorScale>
        <cfvo type="num" val="0"/>
        <cfvo type="percentile" val="50"/>
        <cfvo type="num" val="100"/>
        <color theme="7" tint="0.79998168889431442"/>
        <color theme="9" tint="0.39997558519241921"/>
        <color theme="9" tint="-0.499984740745262"/>
      </colorScale>
    </cfRule>
  </conditionalFormatting>
  <conditionalFormatting sqref="M4:M11">
    <cfRule type="colorScale" priority="3">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conditionalFormatting sqref="P4:Y10 B5:B10 F5:H10">
    <cfRule type="colorScale" priority="11">
      <colorScale>
        <cfvo type="num" val="0"/>
        <cfvo type="percentile" val="50"/>
        <cfvo type="num" val="4"/>
        <color theme="7" tint="0.79998168889431442"/>
        <color theme="9" tint="0.39997558519241921"/>
        <color theme="9" tint="-0.249977111117893"/>
      </colorScale>
    </cfRule>
  </conditionalFormatting>
  <conditionalFormatting sqref="P4:Y11 B5:B10 F5:H10 B11:L11">
    <cfRule type="colorScale" priority="12">
      <colorScale>
        <cfvo type="num" val="0"/>
        <cfvo type="percentile" val="50"/>
        <cfvo type="num" val="100"/>
        <color theme="7" tint="0.79998168889431442"/>
        <color theme="9" tint="0.39997558519241921"/>
        <color theme="9" tint="-0.499984740745262"/>
      </colorScale>
    </cfRule>
  </conditionalFormatting>
  <conditionalFormatting sqref="P11:Y11 U4:U10 B11:L11">
    <cfRule type="colorScale" priority="10">
      <colorScale>
        <cfvo type="num" val="0"/>
        <cfvo type="percentile" val="50"/>
        <cfvo type="num" val="15"/>
        <color theme="7" tint="0.79998168889431442"/>
        <color theme="9" tint="0.59999389629810485"/>
        <color theme="9"/>
      </colorScale>
    </cfRule>
  </conditionalFormatting>
  <conditionalFormatting sqref="Z4:Z11">
    <cfRule type="colorScale" priority="8">
      <colorScale>
        <cfvo type="num" val="0"/>
        <cfvo type="percentile" val="50"/>
        <cfvo type="num" val="100"/>
        <color theme="7" tint="0.79998168889431442"/>
        <color theme="9" tint="0.79998168889431442"/>
        <color theme="9"/>
      </colorScale>
    </cfRule>
    <cfRule type="colorScale" priority="9">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A7C1-DAC8-4A97-9150-2A85A592B605}">
  <dimension ref="A1:AB25"/>
  <sheetViews>
    <sheetView topLeftCell="U2" zoomScaleNormal="100" workbookViewId="0">
      <selection activeCell="A12" sqref="A12"/>
    </sheetView>
  </sheetViews>
  <sheetFormatPr defaultRowHeight="15"/>
  <cols>
    <col min="1" max="1" width="25.7109375" customWidth="1"/>
    <col min="2" max="8" width="20.7109375" customWidth="1"/>
    <col min="9" max="9" width="22.7109375" customWidth="1"/>
    <col min="10" max="10" width="17.42578125" customWidth="1"/>
    <col min="11" max="11" width="27.140625" customWidth="1"/>
    <col min="12" max="12" width="33.85546875" customWidth="1"/>
    <col min="16" max="27" width="20.7109375" customWidth="1"/>
  </cols>
  <sheetData>
    <row r="1" spans="1:28" ht="24.95" customHeight="1">
      <c r="A1" s="19" t="s">
        <v>0</v>
      </c>
      <c r="B1" s="12" t="s">
        <v>54</v>
      </c>
      <c r="C1" s="12"/>
      <c r="D1" s="12"/>
      <c r="E1" s="12"/>
      <c r="F1" s="12"/>
      <c r="G1" s="12"/>
      <c r="H1" s="12"/>
      <c r="I1" s="12"/>
      <c r="J1" s="12"/>
      <c r="K1" s="12"/>
      <c r="L1" s="12"/>
    </row>
    <row r="2" spans="1:28" ht="30" customHeight="1">
      <c r="A2" s="19"/>
      <c r="B2" s="12"/>
      <c r="C2" s="12"/>
      <c r="D2" s="12"/>
      <c r="E2" s="12"/>
      <c r="F2" s="12"/>
      <c r="G2" s="12"/>
      <c r="H2" s="12"/>
      <c r="I2" s="12"/>
      <c r="J2" s="12"/>
      <c r="K2" s="12"/>
      <c r="L2" s="12"/>
      <c r="P2" s="19" t="s">
        <v>1</v>
      </c>
      <c r="Q2" s="17"/>
      <c r="R2" s="17"/>
      <c r="S2" s="17"/>
      <c r="T2" s="17"/>
      <c r="U2" s="17"/>
      <c r="V2" s="17"/>
      <c r="W2" s="17"/>
    </row>
    <row r="3" spans="1:28" ht="30">
      <c r="A3" s="1" t="s">
        <v>2</v>
      </c>
      <c r="B3" s="10" t="s">
        <v>66</v>
      </c>
      <c r="C3" s="10" t="s">
        <v>72</v>
      </c>
      <c r="D3" s="10" t="s">
        <v>67</v>
      </c>
      <c r="E3" s="10" t="s">
        <v>48</v>
      </c>
      <c r="F3" s="1" t="s">
        <v>30</v>
      </c>
      <c r="G3" s="1" t="s">
        <v>9</v>
      </c>
      <c r="H3" s="1" t="s">
        <v>69</v>
      </c>
      <c r="I3" s="10" t="s">
        <v>31</v>
      </c>
      <c r="J3" s="1" t="s">
        <v>10</v>
      </c>
      <c r="K3" s="1" t="s">
        <v>73</v>
      </c>
      <c r="L3" s="1" t="s">
        <v>11</v>
      </c>
      <c r="P3" s="19"/>
      <c r="Q3" s="17"/>
      <c r="R3" s="17"/>
      <c r="S3" s="17"/>
      <c r="T3" s="17"/>
      <c r="U3" s="17"/>
      <c r="V3" s="17"/>
      <c r="W3" s="17"/>
    </row>
    <row r="4" spans="1:28" ht="30" customHeight="1">
      <c r="A4" s="2" t="s">
        <v>18</v>
      </c>
      <c r="B4" s="2">
        <v>0</v>
      </c>
      <c r="C4" s="2">
        <v>0</v>
      </c>
      <c r="D4" s="2">
        <v>0</v>
      </c>
      <c r="E4" s="2">
        <v>0</v>
      </c>
      <c r="F4" s="2">
        <v>0</v>
      </c>
      <c r="G4" s="2">
        <v>0</v>
      </c>
      <c r="H4" s="2">
        <v>0</v>
      </c>
      <c r="I4" s="2">
        <v>0</v>
      </c>
      <c r="J4" s="2">
        <v>1</v>
      </c>
      <c r="K4" s="2">
        <v>0</v>
      </c>
      <c r="L4"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15</v>
      </c>
      <c r="P4" s="1" t="s">
        <v>61</v>
      </c>
      <c r="Q4" s="1" t="s">
        <v>74</v>
      </c>
      <c r="R4" s="1" t="s">
        <v>75</v>
      </c>
      <c r="S4" s="1" t="s">
        <v>14</v>
      </c>
      <c r="T4" s="1" t="s">
        <v>55</v>
      </c>
      <c r="U4" s="1" t="s">
        <v>49</v>
      </c>
      <c r="V4" s="1" t="s">
        <v>16</v>
      </c>
      <c r="W4" s="1" t="s">
        <v>56</v>
      </c>
      <c r="X4" s="1" t="s">
        <v>62</v>
      </c>
      <c r="Y4" s="1" t="s">
        <v>70</v>
      </c>
      <c r="Z4" s="1" t="s">
        <v>10</v>
      </c>
      <c r="AA4" s="1" t="s">
        <v>76</v>
      </c>
      <c r="AB4" s="1" t="s">
        <v>11</v>
      </c>
    </row>
    <row r="5" spans="1:28" ht="30" customHeight="1">
      <c r="A5" s="2" t="s">
        <v>19</v>
      </c>
      <c r="B5" s="2">
        <v>4</v>
      </c>
      <c r="C5" s="2">
        <v>0</v>
      </c>
      <c r="D5" s="2">
        <v>0</v>
      </c>
      <c r="E5" s="2">
        <v>0</v>
      </c>
      <c r="F5" s="2">
        <v>1</v>
      </c>
      <c r="G5" s="2">
        <v>0</v>
      </c>
      <c r="H5" s="2">
        <v>1</v>
      </c>
      <c r="I5" s="2">
        <v>1</v>
      </c>
      <c r="J5" s="2">
        <v>1</v>
      </c>
      <c r="K5" s="2">
        <v>2</v>
      </c>
      <c r="L5"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115</v>
      </c>
      <c r="P5" s="2" t="s">
        <v>18</v>
      </c>
      <c r="Q5" s="2">
        <v>0</v>
      </c>
      <c r="R5" s="2">
        <v>2</v>
      </c>
      <c r="S5" s="2">
        <v>0</v>
      </c>
      <c r="T5" s="2">
        <v>0</v>
      </c>
      <c r="U5" s="2">
        <v>0</v>
      </c>
      <c r="V5" s="3">
        <v>0</v>
      </c>
      <c r="W5" s="2">
        <v>0.5</v>
      </c>
      <c r="X5" s="2">
        <v>1</v>
      </c>
      <c r="Y5" s="11">
        <v>1</v>
      </c>
      <c r="Z5" s="2">
        <v>1</v>
      </c>
      <c r="AA5" s="2">
        <v>3</v>
      </c>
      <c r="AB5" s="18" cm="1">
        <f t="array" ref="AB5">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97.5</v>
      </c>
    </row>
    <row r="6" spans="1:28" ht="30" customHeight="1">
      <c r="A6" s="2" t="s">
        <v>20</v>
      </c>
      <c r="B6" s="2">
        <v>0</v>
      </c>
      <c r="C6" s="2">
        <v>0</v>
      </c>
      <c r="D6" s="2">
        <v>0</v>
      </c>
      <c r="E6" s="2">
        <v>0</v>
      </c>
      <c r="F6" s="2">
        <v>1</v>
      </c>
      <c r="G6" s="2">
        <v>0</v>
      </c>
      <c r="H6" s="2">
        <v>1</v>
      </c>
      <c r="I6" s="2">
        <v>0</v>
      </c>
      <c r="J6" s="2">
        <v>1</v>
      </c>
      <c r="K6" s="2">
        <v>0</v>
      </c>
      <c r="L6"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40</v>
      </c>
      <c r="P6" s="2" t="s">
        <v>19</v>
      </c>
      <c r="Q6" s="2">
        <v>0</v>
      </c>
      <c r="R6" s="2">
        <v>0</v>
      </c>
      <c r="S6" s="2">
        <v>0</v>
      </c>
      <c r="T6" s="2">
        <v>0</v>
      </c>
      <c r="U6" s="2">
        <v>0</v>
      </c>
      <c r="V6" s="2">
        <v>0</v>
      </c>
      <c r="W6" s="2">
        <v>0</v>
      </c>
      <c r="X6" s="2">
        <v>0</v>
      </c>
      <c r="Y6" s="2">
        <v>0</v>
      </c>
      <c r="Z6" s="2">
        <v>1</v>
      </c>
      <c r="AA6" s="2">
        <v>2</v>
      </c>
      <c r="AB6" s="18" cm="1">
        <f t="array" ref="AB6">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30</v>
      </c>
    </row>
    <row r="7" spans="1:28" ht="30" customHeight="1">
      <c r="A7" s="2" t="s">
        <v>21</v>
      </c>
      <c r="B7" s="2">
        <v>2</v>
      </c>
      <c r="C7" s="2">
        <v>1.5</v>
      </c>
      <c r="D7" s="2">
        <v>0</v>
      </c>
      <c r="E7" s="2">
        <v>0</v>
      </c>
      <c r="F7" s="2">
        <v>0</v>
      </c>
      <c r="G7" s="2">
        <v>1</v>
      </c>
      <c r="H7" s="2">
        <v>0</v>
      </c>
      <c r="I7" s="2">
        <v>1</v>
      </c>
      <c r="J7" s="2">
        <v>1</v>
      </c>
      <c r="K7" s="2">
        <v>0</v>
      </c>
      <c r="L7"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72.5</v>
      </c>
      <c r="P7" s="2" t="s">
        <v>20</v>
      </c>
      <c r="Q7" s="2">
        <v>0</v>
      </c>
      <c r="R7" s="2">
        <v>0</v>
      </c>
      <c r="S7" s="2">
        <v>0</v>
      </c>
      <c r="T7" s="2">
        <v>0</v>
      </c>
      <c r="U7" s="2">
        <v>0</v>
      </c>
      <c r="V7" s="2">
        <v>0</v>
      </c>
      <c r="W7" s="2">
        <v>0</v>
      </c>
      <c r="X7" s="2">
        <v>0</v>
      </c>
      <c r="Y7" s="2">
        <v>0</v>
      </c>
      <c r="Z7" s="2">
        <v>1</v>
      </c>
      <c r="AA7" s="2">
        <v>0</v>
      </c>
      <c r="AB7" s="18" cm="1">
        <f t="array" ref="AB7">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10</v>
      </c>
    </row>
    <row r="8" spans="1:28" ht="30" customHeight="1">
      <c r="A8" s="2" t="s">
        <v>22</v>
      </c>
      <c r="B8" s="2">
        <v>2</v>
      </c>
      <c r="C8" s="2">
        <v>0</v>
      </c>
      <c r="D8" s="2">
        <v>0</v>
      </c>
      <c r="E8" s="2">
        <v>0</v>
      </c>
      <c r="F8" s="2">
        <v>0</v>
      </c>
      <c r="G8" s="2">
        <v>1</v>
      </c>
      <c r="H8" s="2">
        <v>0</v>
      </c>
      <c r="I8" s="2">
        <v>1</v>
      </c>
      <c r="J8" s="2">
        <v>1</v>
      </c>
      <c r="K8" s="2">
        <v>1.3</v>
      </c>
      <c r="L8"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78</v>
      </c>
      <c r="P8" s="2" t="s">
        <v>21</v>
      </c>
      <c r="Q8" s="2">
        <v>0</v>
      </c>
      <c r="R8" s="2">
        <v>0</v>
      </c>
      <c r="S8" s="2">
        <v>0</v>
      </c>
      <c r="T8" s="2">
        <v>0</v>
      </c>
      <c r="U8" s="2">
        <v>0</v>
      </c>
      <c r="V8" s="2">
        <v>0</v>
      </c>
      <c r="W8" s="2">
        <v>0</v>
      </c>
      <c r="X8" s="2">
        <v>0</v>
      </c>
      <c r="Y8" s="2">
        <v>0</v>
      </c>
      <c r="Z8" s="2">
        <v>0</v>
      </c>
      <c r="AA8" s="2">
        <v>0</v>
      </c>
      <c r="AB8" s="18" cm="1">
        <f t="array" ref="AB8">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0</v>
      </c>
    </row>
    <row r="9" spans="1:28" ht="30" customHeight="1">
      <c r="A9" s="2" t="s">
        <v>23</v>
      </c>
      <c r="B9" s="2">
        <v>0</v>
      </c>
      <c r="C9" s="2">
        <v>0</v>
      </c>
      <c r="D9" s="2">
        <v>0</v>
      </c>
      <c r="E9" s="2">
        <v>0</v>
      </c>
      <c r="F9" s="2">
        <v>1</v>
      </c>
      <c r="G9" s="2">
        <v>0</v>
      </c>
      <c r="H9" s="2">
        <v>0</v>
      </c>
      <c r="I9" s="2">
        <v>0</v>
      </c>
      <c r="J9" s="2">
        <v>0</v>
      </c>
      <c r="K9" s="2">
        <v>0</v>
      </c>
      <c r="L9"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15</v>
      </c>
      <c r="P9" s="2" t="s">
        <v>22</v>
      </c>
      <c r="Q9" s="2">
        <v>0</v>
      </c>
      <c r="R9" s="2">
        <v>0</v>
      </c>
      <c r="S9" s="2">
        <v>0</v>
      </c>
      <c r="T9" s="2">
        <v>0</v>
      </c>
      <c r="U9" s="2">
        <v>0</v>
      </c>
      <c r="V9" s="2">
        <v>0</v>
      </c>
      <c r="W9" s="2">
        <v>0</v>
      </c>
      <c r="X9" s="2">
        <v>0</v>
      </c>
      <c r="Y9" s="2">
        <v>0</v>
      </c>
      <c r="Z9" s="2">
        <v>0</v>
      </c>
      <c r="AA9" s="2">
        <v>0</v>
      </c>
      <c r="AB9" s="18" cm="1">
        <f t="array" ref="AB9">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0</v>
      </c>
    </row>
    <row r="10" spans="1:28" ht="30" customHeight="1">
      <c r="A10" s="2" t="s">
        <v>24</v>
      </c>
      <c r="B10" s="2">
        <v>0</v>
      </c>
      <c r="C10" s="2">
        <v>0</v>
      </c>
      <c r="D10" s="2">
        <v>0</v>
      </c>
      <c r="E10" s="2">
        <v>0</v>
      </c>
      <c r="F10" s="2">
        <v>1</v>
      </c>
      <c r="G10" s="2">
        <v>0</v>
      </c>
      <c r="H10" s="2">
        <v>0</v>
      </c>
      <c r="I10" s="2">
        <v>0</v>
      </c>
      <c r="J10" s="2">
        <v>0</v>
      </c>
      <c r="K10" s="2">
        <v>3</v>
      </c>
      <c r="L10" s="18">
        <f>SUM([1]!Table214141851617209[[#This Row],[LabCast Studying]]*15,[1]!Table214141851617209[[#This Row],[LabCast]]*10, [1]!Table214141851617209[[#This Row],[Wake up at 10:30
sleep at 2]]*15, [1]!Table214141851617209[[#This Row],[Lectures]]*5,[1]!Table214141851617209[[#This Row],[P]]*15, [1]!Table214141851617209[[#This Row],[gym ]]*15, [1]!Table214141851617209[[#This Row],[Squash]]*15, [1]!Table214141851617209[[#This Row],[Leetcode design
Leetcode algorithm]]*15, [1]!Table214141851617209[[#This Row],[Screentime &lt; 2 hrs]]*10, [1]!Table214141851617209[[#This Row],[Recharging ]]*10)</f>
        <v>45</v>
      </c>
      <c r="P10" s="2" t="s">
        <v>23</v>
      </c>
      <c r="Q10" s="2">
        <v>0</v>
      </c>
      <c r="R10" s="2">
        <v>0</v>
      </c>
      <c r="S10" s="2">
        <v>0</v>
      </c>
      <c r="T10" s="2">
        <v>0</v>
      </c>
      <c r="U10" s="2">
        <v>0</v>
      </c>
      <c r="V10" s="2">
        <v>0</v>
      </c>
      <c r="W10" s="2">
        <v>0</v>
      </c>
      <c r="X10" s="2">
        <v>0</v>
      </c>
      <c r="Y10" s="2">
        <v>0</v>
      </c>
      <c r="Z10" s="2">
        <v>0</v>
      </c>
      <c r="AA10" s="2">
        <v>0</v>
      </c>
      <c r="AB10" s="18" cm="1">
        <f t="array" ref="AB10">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0</v>
      </c>
    </row>
    <row r="11" spans="1:28" ht="30" customHeight="1">
      <c r="A11" s="2" t="s">
        <v>25</v>
      </c>
      <c r="B11" s="3">
        <f t="shared" ref="B11:K11" si="0">SUM(B4:B10)</f>
        <v>8</v>
      </c>
      <c r="C11" s="3">
        <f t="shared" si="0"/>
        <v>1.5</v>
      </c>
      <c r="D11" s="3">
        <f t="shared" si="0"/>
        <v>0</v>
      </c>
      <c r="E11" s="3">
        <f t="shared" si="0"/>
        <v>0</v>
      </c>
      <c r="F11" s="3">
        <f t="shared" si="0"/>
        <v>4</v>
      </c>
      <c r="G11" s="3">
        <f t="shared" si="0"/>
        <v>2</v>
      </c>
      <c r="H11" s="3">
        <f t="shared" si="0"/>
        <v>2</v>
      </c>
      <c r="I11" s="3">
        <f t="shared" si="0"/>
        <v>3</v>
      </c>
      <c r="J11" s="3">
        <f t="shared" si="0"/>
        <v>5</v>
      </c>
      <c r="K11" s="3">
        <f t="shared" si="0"/>
        <v>6.3</v>
      </c>
      <c r="L11" s="18">
        <f>ROUND(SUM(L4:L10)/7, 0)</f>
        <v>54</v>
      </c>
      <c r="P11" s="2" t="s">
        <v>24</v>
      </c>
      <c r="Q11" s="2">
        <v>0</v>
      </c>
      <c r="R11" s="2">
        <v>0</v>
      </c>
      <c r="S11" s="2">
        <v>0</v>
      </c>
      <c r="T11" s="2">
        <v>0</v>
      </c>
      <c r="U11" s="11">
        <v>1</v>
      </c>
      <c r="V11" s="3">
        <v>0</v>
      </c>
      <c r="W11" s="2">
        <v>0</v>
      </c>
      <c r="X11" s="2">
        <v>0</v>
      </c>
      <c r="Y11" s="2">
        <v>0</v>
      </c>
      <c r="Z11" s="11">
        <v>1</v>
      </c>
      <c r="AA11" s="2">
        <v>0</v>
      </c>
      <c r="AB11" s="18" cm="1">
        <f t="array" ref="AB11">SUM(Table2613122197810[[#This Row],[CNS]:[RBS]]*15, Table2613122197810[[#This Row],[Work &amp; Reading]]*10,Table2613122197810[[#This Row],[Gym]]*10,Table2613122197810[[#This Row],[45 min Cardio]]*10,Table2613122197810[[#This Row],[Cut &amp; Hydration]]*15,Table2613122197810[[#This Row],[Negida Academy]]*10, Table2613122197810[[#This Row],[P]]*10, Table2613122197810[[#This Row],[RT]]*10, Table2613122197810[[#This Row],[quit scrolling]]*10)</f>
        <v>20</v>
      </c>
    </row>
    <row r="12" spans="1:28" ht="30" customHeight="1">
      <c r="A12" s="20" t="s">
        <v>77</v>
      </c>
      <c r="B12" s="20"/>
      <c r="C12" s="20"/>
      <c r="D12" s="20"/>
      <c r="E12" s="20"/>
      <c r="F12" s="20"/>
      <c r="G12" s="20"/>
      <c r="H12" s="20"/>
      <c r="I12" s="20"/>
      <c r="J12" s="20"/>
      <c r="K12" s="20"/>
      <c r="L12" s="20"/>
      <c r="P12" s="2" t="s">
        <v>25</v>
      </c>
      <c r="Q12" s="2">
        <v>0</v>
      </c>
      <c r="R12" s="3">
        <f t="shared" ref="R12" si="1">SUM(R5:R11)</f>
        <v>2</v>
      </c>
      <c r="S12" s="3">
        <f>SUM(S5:S11)</f>
        <v>0</v>
      </c>
      <c r="T12" s="3">
        <f>SUM(T5:T11)</f>
        <v>0</v>
      </c>
      <c r="U12" s="3">
        <f>SUM(U5:U11)</f>
        <v>1</v>
      </c>
      <c r="V12" s="3">
        <f>SUM(V5:V11)</f>
        <v>0</v>
      </c>
      <c r="W12" s="3">
        <f>SUM(W5:W11)</f>
        <v>0.5</v>
      </c>
      <c r="X12" s="2">
        <v>0</v>
      </c>
      <c r="Y12" s="3">
        <f>SUM(Y5:Y11)</f>
        <v>1</v>
      </c>
      <c r="Z12" s="2">
        <v>0</v>
      </c>
      <c r="AA12" s="2">
        <v>0</v>
      </c>
      <c r="AB12" s="18">
        <f>ROUND(SUM(AB5:AB11)/7,0)</f>
        <v>23</v>
      </c>
    </row>
    <row r="13" spans="1:28">
      <c r="A13" s="20"/>
      <c r="B13" s="20"/>
      <c r="C13" s="20"/>
      <c r="D13" s="20"/>
      <c r="E13" s="20"/>
      <c r="F13" s="20"/>
      <c r="G13" s="20"/>
      <c r="H13" s="20"/>
      <c r="I13" s="20"/>
      <c r="J13" s="20"/>
      <c r="K13" s="20"/>
      <c r="L13" s="20"/>
    </row>
    <row r="14" spans="1:28">
      <c r="A14" s="20"/>
      <c r="B14" s="20"/>
      <c r="C14" s="20"/>
      <c r="D14" s="20"/>
      <c r="E14" s="20"/>
      <c r="F14" s="20"/>
      <c r="G14" s="20"/>
      <c r="H14" s="20"/>
      <c r="I14" s="20"/>
      <c r="J14" s="20"/>
      <c r="K14" s="20"/>
      <c r="L14" s="20"/>
    </row>
    <row r="15" spans="1:28">
      <c r="A15" s="20"/>
      <c r="B15" s="20"/>
      <c r="C15" s="20"/>
      <c r="D15" s="20"/>
      <c r="E15" s="20"/>
      <c r="F15" s="20"/>
      <c r="G15" s="20"/>
      <c r="H15" s="20"/>
      <c r="I15" s="20"/>
      <c r="J15" s="20"/>
      <c r="K15" s="20"/>
      <c r="L15" s="20"/>
    </row>
    <row r="16" spans="1:28">
      <c r="A16" s="20"/>
      <c r="B16" s="20"/>
      <c r="C16" s="20"/>
      <c r="D16" s="20"/>
      <c r="E16" s="20"/>
      <c r="F16" s="20"/>
      <c r="G16" s="20"/>
      <c r="H16" s="20"/>
      <c r="I16" s="20"/>
      <c r="J16" s="20"/>
      <c r="K16" s="20"/>
      <c r="L16" s="20"/>
    </row>
    <row r="17" spans="1:12">
      <c r="A17" s="20"/>
      <c r="B17" s="20"/>
      <c r="C17" s="20"/>
      <c r="D17" s="20"/>
      <c r="E17" s="20"/>
      <c r="F17" s="20"/>
      <c r="G17" s="20"/>
      <c r="H17" s="20"/>
      <c r="I17" s="20"/>
      <c r="J17" s="20"/>
      <c r="K17" s="20"/>
      <c r="L17" s="20"/>
    </row>
    <row r="18" spans="1:12">
      <c r="A18" s="20"/>
      <c r="B18" s="20"/>
      <c r="C18" s="20"/>
      <c r="D18" s="20"/>
      <c r="E18" s="20"/>
      <c r="F18" s="20"/>
      <c r="G18" s="20"/>
      <c r="H18" s="20"/>
      <c r="I18" s="20"/>
      <c r="J18" s="20"/>
      <c r="K18" s="20"/>
      <c r="L18" s="20"/>
    </row>
    <row r="19" spans="1:12" ht="15" customHeight="1">
      <c r="A19" s="20" t="s">
        <v>78</v>
      </c>
      <c r="B19" s="20"/>
      <c r="C19" s="20"/>
      <c r="D19" s="20"/>
      <c r="E19" s="20"/>
      <c r="F19" s="20"/>
      <c r="G19" s="20"/>
      <c r="H19" s="20"/>
      <c r="I19" s="20"/>
      <c r="J19" s="20"/>
      <c r="K19" s="20"/>
      <c r="L19" s="20"/>
    </row>
    <row r="20" spans="1:12">
      <c r="A20" s="20"/>
      <c r="B20" s="20"/>
      <c r="C20" s="20"/>
      <c r="D20" s="20"/>
      <c r="E20" s="20"/>
      <c r="F20" s="20"/>
      <c r="G20" s="20"/>
      <c r="H20" s="20"/>
      <c r="I20" s="20"/>
      <c r="J20" s="20"/>
      <c r="K20" s="20"/>
      <c r="L20" s="20"/>
    </row>
    <row r="21" spans="1:12">
      <c r="A21" s="20"/>
      <c r="B21" s="20"/>
      <c r="C21" s="20"/>
      <c r="D21" s="20"/>
      <c r="E21" s="20"/>
      <c r="F21" s="20"/>
      <c r="G21" s="20"/>
      <c r="H21" s="20"/>
      <c r="I21" s="20"/>
      <c r="J21" s="20"/>
      <c r="K21" s="20"/>
      <c r="L21" s="20"/>
    </row>
    <row r="22" spans="1:12">
      <c r="A22" s="20"/>
      <c r="B22" s="20"/>
      <c r="C22" s="20"/>
      <c r="D22" s="20"/>
      <c r="E22" s="20"/>
      <c r="F22" s="20"/>
      <c r="G22" s="20"/>
      <c r="H22" s="20"/>
      <c r="I22" s="20"/>
      <c r="J22" s="20"/>
      <c r="K22" s="20"/>
      <c r="L22" s="20"/>
    </row>
    <row r="23" spans="1:12">
      <c r="A23" s="20"/>
      <c r="B23" s="20"/>
      <c r="C23" s="20"/>
      <c r="D23" s="20"/>
      <c r="E23" s="20"/>
      <c r="F23" s="20"/>
      <c r="G23" s="20"/>
      <c r="H23" s="20"/>
      <c r="I23" s="20"/>
      <c r="J23" s="20"/>
      <c r="K23" s="20"/>
      <c r="L23" s="20"/>
    </row>
    <row r="24" spans="1:12">
      <c r="A24" s="20"/>
      <c r="B24" s="20"/>
      <c r="C24" s="20"/>
      <c r="D24" s="20"/>
      <c r="E24" s="20"/>
      <c r="F24" s="20"/>
      <c r="G24" s="20"/>
      <c r="H24" s="20"/>
      <c r="I24" s="20"/>
      <c r="J24" s="20"/>
      <c r="K24" s="20"/>
      <c r="L24" s="20"/>
    </row>
    <row r="25" spans="1:12" ht="58.5" customHeight="1">
      <c r="A25" s="20"/>
      <c r="B25" s="20"/>
      <c r="C25" s="20"/>
      <c r="D25" s="20"/>
      <c r="E25" s="20"/>
      <c r="F25" s="20"/>
      <c r="G25" s="20"/>
      <c r="H25" s="20"/>
      <c r="I25" s="20"/>
      <c r="J25" s="20"/>
      <c r="K25" s="20"/>
      <c r="L25" s="20"/>
    </row>
  </sheetData>
  <mergeCells count="4">
    <mergeCell ref="A1:A2"/>
    <mergeCell ref="A12:L18"/>
    <mergeCell ref="A19:L25"/>
    <mergeCell ref="P2:P3"/>
  </mergeCells>
  <phoneticPr fontId="3" type="noConversion"/>
  <conditionalFormatting sqref="B11:K11">
    <cfRule type="colorScale" priority="5">
      <colorScale>
        <cfvo type="num" val="0"/>
        <cfvo type="percentile" val="50"/>
        <cfvo type="num" val="15"/>
        <color theme="7" tint="0.79998168889431442"/>
        <color theme="9" tint="0.59999389629810485"/>
        <color theme="9"/>
      </colorScale>
    </cfRule>
  </conditionalFormatting>
  <conditionalFormatting sqref="E5:E10 B5:B10 B11:K11">
    <cfRule type="colorScale" priority="7">
      <colorScale>
        <cfvo type="num" val="0"/>
        <cfvo type="percentile" val="50"/>
        <cfvo type="num" val="100"/>
        <color theme="7" tint="0.79998168889431442"/>
        <color theme="9" tint="0.39997558519241921"/>
        <color theme="9" tint="-0.499984740745262"/>
      </colorScale>
    </cfRule>
  </conditionalFormatting>
  <conditionalFormatting sqref="E5:E10 B5:B10">
    <cfRule type="colorScale" priority="6">
      <colorScale>
        <cfvo type="num" val="0"/>
        <cfvo type="percentile" val="50"/>
        <cfvo type="num" val="4"/>
        <color theme="7" tint="0.79998168889431442"/>
        <color theme="9" tint="0.39997558519241921"/>
        <color theme="9" tint="-0.249977111117893"/>
      </colorScale>
    </cfRule>
  </conditionalFormatting>
  <conditionalFormatting sqref="F5:K10 B4:K4 C5:D10">
    <cfRule type="colorScale" priority="1">
      <colorScale>
        <cfvo type="num" val="0"/>
        <cfvo type="percentile" val="50"/>
        <cfvo type="num" val="4"/>
        <color theme="7" tint="0.79998168889431442"/>
        <color theme="9" tint="0.39997558519241921"/>
        <color theme="9" tint="-0.249977111117893"/>
      </colorScale>
    </cfRule>
    <cfRule type="colorScale" priority="2">
      <colorScale>
        <cfvo type="num" val="0"/>
        <cfvo type="percentile" val="50"/>
        <cfvo type="num" val="100"/>
        <color theme="7" tint="0.79998168889431442"/>
        <color theme="9" tint="0.39997558519241921"/>
        <color theme="9" tint="-0.499984740745262"/>
      </colorScale>
    </cfRule>
  </conditionalFormatting>
  <conditionalFormatting sqref="L4:L11">
    <cfRule type="colorScale" priority="3">
      <colorScale>
        <cfvo type="num" val="0"/>
        <cfvo type="percentile" val="50"/>
        <cfvo type="num" val="100"/>
        <color theme="7" tint="0.79998168889431442"/>
        <color theme="9" tint="0.79998168889431442"/>
        <color theme="9"/>
      </colorScale>
    </cfRule>
    <cfRule type="colorScale" priority="4">
      <colorScale>
        <cfvo type="num" val="0"/>
        <cfvo type="num" val="100"/>
        <color theme="7" tint="0.79998168889431442"/>
        <color theme="9" tint="-0.249977111117893"/>
      </colorScale>
    </cfRule>
  </conditionalFormatting>
  <conditionalFormatting sqref="Q5:Z12">
    <cfRule type="colorScale" priority="12">
      <colorScale>
        <cfvo type="num" val="0"/>
        <cfvo type="percentile" val="50"/>
        <cfvo type="num" val="100"/>
        <color theme="7" tint="0.79998168889431442"/>
        <color theme="9" tint="0.39997558519241921"/>
        <color theme="9" tint="-0.499984740745262"/>
      </colorScale>
    </cfRule>
  </conditionalFormatting>
  <conditionalFormatting sqref="Q12:Z12 V5:V11">
    <cfRule type="colorScale" priority="10">
      <colorScale>
        <cfvo type="num" val="0"/>
        <cfvo type="percentile" val="50"/>
        <cfvo type="num" val="15"/>
        <color theme="7" tint="0.79998168889431442"/>
        <color theme="9" tint="0.59999389629810485"/>
        <color theme="9"/>
      </colorScale>
    </cfRule>
  </conditionalFormatting>
  <conditionalFormatting sqref="Z11:Z12 Q12 X8:X12 Q5:Z11">
    <cfRule type="colorScale" priority="11">
      <colorScale>
        <cfvo type="num" val="0"/>
        <cfvo type="percentile" val="50"/>
        <cfvo type="num" val="4"/>
        <color theme="7" tint="0.79998168889431442"/>
        <color theme="9" tint="0.39997558519241921"/>
        <color theme="9" tint="-0.249977111117893"/>
      </colorScale>
    </cfRule>
  </conditionalFormatting>
  <conditionalFormatting sqref="AA5:AA12">
    <cfRule type="colorScale" priority="18">
      <colorScale>
        <cfvo type="num" val="0"/>
        <cfvo type="percentile" val="50"/>
        <cfvo type="num" val="4"/>
        <color theme="7" tint="0.79998168889431442"/>
        <color theme="9" tint="0.39997558519241921"/>
        <color theme="9" tint="-0.249977111117893"/>
      </colorScale>
    </cfRule>
    <cfRule type="colorScale" priority="19">
      <colorScale>
        <cfvo type="num" val="0"/>
        <cfvo type="percentile" val="50"/>
        <cfvo type="num" val="100"/>
        <color theme="7" tint="0.79998168889431442"/>
        <color theme="9" tint="0.39997558519241921"/>
        <color theme="9" tint="-0.499984740745262"/>
      </colorScale>
    </cfRule>
  </conditionalFormatting>
  <conditionalFormatting sqref="AA12">
    <cfRule type="colorScale" priority="17">
      <colorScale>
        <cfvo type="num" val="0"/>
        <cfvo type="percentile" val="50"/>
        <cfvo type="num" val="15"/>
        <color theme="7" tint="0.79998168889431442"/>
        <color theme="9" tint="0.59999389629810485"/>
        <color theme="9"/>
      </colorScale>
    </cfRule>
  </conditionalFormatting>
  <conditionalFormatting sqref="AB5:AB12">
    <cfRule type="colorScale" priority="8">
      <colorScale>
        <cfvo type="num" val="0"/>
        <cfvo type="percentile" val="50"/>
        <cfvo type="num" val="100"/>
        <color theme="7" tint="0.79998168889431442"/>
        <color theme="9" tint="0.79998168889431442"/>
        <color theme="9"/>
      </colorScale>
    </cfRule>
    <cfRule type="colorScale" priority="9">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C92D-9007-4CD2-9BEF-DFFBCC620514}">
  <dimension ref="A1:AG32"/>
  <sheetViews>
    <sheetView zoomScale="85" zoomScaleNormal="85" workbookViewId="0">
      <selection activeCell="AE10" sqref="AE10"/>
    </sheetView>
  </sheetViews>
  <sheetFormatPr defaultRowHeight="15"/>
  <cols>
    <col min="1" max="15" width="20.7109375" customWidth="1"/>
    <col min="21" max="33" width="20.7109375" customWidth="1"/>
  </cols>
  <sheetData>
    <row r="1" spans="1:33" ht="30" customHeight="1">
      <c r="A1" s="19" t="s">
        <v>0</v>
      </c>
      <c r="B1" s="12" t="s">
        <v>54</v>
      </c>
      <c r="C1" s="12"/>
      <c r="D1" s="12"/>
      <c r="E1" s="12"/>
      <c r="F1" s="12"/>
      <c r="G1" s="12"/>
      <c r="H1" s="12"/>
      <c r="I1" s="12"/>
      <c r="J1" s="12"/>
      <c r="K1" s="12"/>
      <c r="L1" s="12"/>
      <c r="M1" s="12"/>
      <c r="N1" s="12"/>
      <c r="O1" s="12"/>
      <c r="U1" s="19" t="s">
        <v>1</v>
      </c>
      <c r="V1" s="17"/>
      <c r="W1" s="17"/>
      <c r="X1" s="17"/>
      <c r="Y1" s="17"/>
      <c r="Z1" s="17"/>
      <c r="AA1" s="17"/>
      <c r="AB1" s="17"/>
    </row>
    <row r="2" spans="1:33" ht="30" customHeight="1">
      <c r="A2" s="19"/>
      <c r="B2" s="12"/>
      <c r="C2" s="12"/>
      <c r="D2" s="12"/>
      <c r="E2" s="12"/>
      <c r="F2" s="12"/>
      <c r="G2" s="12"/>
      <c r="H2" s="12"/>
      <c r="I2" s="12"/>
      <c r="J2" s="12"/>
      <c r="K2" s="12"/>
      <c r="L2" s="12"/>
      <c r="M2" s="12"/>
      <c r="N2" s="12"/>
      <c r="O2" s="12"/>
      <c r="U2" s="19"/>
      <c r="V2" s="17"/>
      <c r="W2" s="17"/>
      <c r="X2" s="17"/>
      <c r="Y2" s="17"/>
      <c r="Z2" s="17"/>
      <c r="AA2" s="17"/>
      <c r="AB2" s="17"/>
    </row>
    <row r="3" spans="1:33" ht="30" customHeight="1">
      <c r="A3" s="1" t="s">
        <v>2</v>
      </c>
      <c r="B3" s="10" t="s">
        <v>66</v>
      </c>
      <c r="C3" s="10" t="s">
        <v>67</v>
      </c>
      <c r="D3" s="10" t="s">
        <v>48</v>
      </c>
      <c r="E3" s="10" t="s">
        <v>79</v>
      </c>
      <c r="F3" s="10" t="s">
        <v>80</v>
      </c>
      <c r="G3" s="10" t="s">
        <v>81</v>
      </c>
      <c r="H3" s="10" t="s">
        <v>82</v>
      </c>
      <c r="I3" s="1" t="s">
        <v>30</v>
      </c>
      <c r="J3" s="1" t="s">
        <v>9</v>
      </c>
      <c r="K3" s="1" t="s">
        <v>69</v>
      </c>
      <c r="L3" s="10" t="s">
        <v>31</v>
      </c>
      <c r="M3" s="1" t="s">
        <v>10</v>
      </c>
      <c r="N3" s="1" t="s">
        <v>73</v>
      </c>
      <c r="O3" s="1" t="s">
        <v>11</v>
      </c>
      <c r="U3" s="1" t="s">
        <v>61</v>
      </c>
      <c r="V3" s="1" t="s">
        <v>74</v>
      </c>
      <c r="W3" s="1" t="s">
        <v>75</v>
      </c>
      <c r="X3" s="1" t="s">
        <v>14</v>
      </c>
      <c r="Y3" s="1" t="s">
        <v>55</v>
      </c>
      <c r="Z3" s="1" t="s">
        <v>49</v>
      </c>
      <c r="AA3" s="1" t="s">
        <v>16</v>
      </c>
      <c r="AB3" s="1" t="s">
        <v>56</v>
      </c>
      <c r="AC3" s="1" t="s">
        <v>62</v>
      </c>
      <c r="AD3" s="1" t="s">
        <v>70</v>
      </c>
      <c r="AE3" s="1" t="s">
        <v>10</v>
      </c>
      <c r="AF3" s="1" t="s">
        <v>76</v>
      </c>
      <c r="AG3" s="1" t="s">
        <v>11</v>
      </c>
    </row>
    <row r="4" spans="1:33" ht="30" customHeight="1">
      <c r="A4" s="2" t="s">
        <v>18</v>
      </c>
      <c r="B4" s="2">
        <v>0</v>
      </c>
      <c r="C4" s="2">
        <v>0</v>
      </c>
      <c r="D4" s="2">
        <v>0</v>
      </c>
      <c r="E4" s="2">
        <v>0</v>
      </c>
      <c r="F4" s="2">
        <v>0</v>
      </c>
      <c r="G4" s="2">
        <v>0</v>
      </c>
      <c r="H4" s="2">
        <v>0</v>
      </c>
      <c r="I4" s="2">
        <v>0</v>
      </c>
      <c r="J4" s="2">
        <v>1</v>
      </c>
      <c r="K4" s="2">
        <v>0</v>
      </c>
      <c r="L4" s="2">
        <v>0</v>
      </c>
      <c r="M4" s="2">
        <v>1</v>
      </c>
      <c r="N4" s="2">
        <v>4</v>
      </c>
      <c r="O4" s="18" cm="1">
        <f t="array" ref="O4">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70</v>
      </c>
      <c r="U4" s="2" t="s">
        <v>18</v>
      </c>
      <c r="V4" s="2">
        <v>0</v>
      </c>
      <c r="W4" s="2">
        <v>0</v>
      </c>
      <c r="X4" s="2">
        <v>0</v>
      </c>
      <c r="Y4" s="2">
        <v>0</v>
      </c>
      <c r="Z4" s="2">
        <v>2</v>
      </c>
      <c r="AA4" s="3">
        <v>0</v>
      </c>
      <c r="AB4" s="2">
        <v>0</v>
      </c>
      <c r="AC4" s="2">
        <v>1</v>
      </c>
      <c r="AD4" s="11">
        <v>0</v>
      </c>
      <c r="AE4" s="2">
        <v>1</v>
      </c>
      <c r="AF4" s="2">
        <v>1</v>
      </c>
      <c r="AG4" s="18" cm="1">
        <f t="array" ref="AG4">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50</v>
      </c>
    </row>
    <row r="5" spans="1:33" ht="30" customHeight="1">
      <c r="A5" s="2" t="s">
        <v>19</v>
      </c>
      <c r="B5" s="2">
        <v>0</v>
      </c>
      <c r="C5" s="2">
        <v>0</v>
      </c>
      <c r="D5" s="2">
        <v>0</v>
      </c>
      <c r="E5" s="2">
        <v>0</v>
      </c>
      <c r="F5" s="2">
        <v>0</v>
      </c>
      <c r="G5" s="2">
        <v>0</v>
      </c>
      <c r="H5" s="2">
        <v>0</v>
      </c>
      <c r="I5" s="2">
        <v>1</v>
      </c>
      <c r="J5" s="2">
        <v>0</v>
      </c>
      <c r="K5" s="2">
        <v>0</v>
      </c>
      <c r="L5" s="2">
        <v>0</v>
      </c>
      <c r="M5" s="2">
        <v>0</v>
      </c>
      <c r="N5" s="2">
        <v>0</v>
      </c>
      <c r="O5" s="18" cm="1">
        <f t="array" ref="O5">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15</v>
      </c>
      <c r="U5" s="2" t="s">
        <v>19</v>
      </c>
      <c r="V5" s="2">
        <v>1</v>
      </c>
      <c r="W5" s="2">
        <v>0</v>
      </c>
      <c r="X5" s="2">
        <v>0</v>
      </c>
      <c r="Y5" s="2">
        <v>0</v>
      </c>
      <c r="Z5" s="2">
        <v>0</v>
      </c>
      <c r="AA5" s="2">
        <v>1</v>
      </c>
      <c r="AB5" s="2">
        <v>1</v>
      </c>
      <c r="AC5" s="2">
        <v>1</v>
      </c>
      <c r="AD5" s="2">
        <v>0</v>
      </c>
      <c r="AE5" s="2">
        <v>0</v>
      </c>
      <c r="AF5" s="2">
        <v>0</v>
      </c>
      <c r="AG5" s="18" cm="1">
        <f t="array" ref="AG5">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50</v>
      </c>
    </row>
    <row r="6" spans="1:33" ht="30" customHeight="1">
      <c r="A6" s="2" t="s">
        <v>20</v>
      </c>
      <c r="B6" s="2">
        <v>1</v>
      </c>
      <c r="C6" s="2">
        <v>0</v>
      </c>
      <c r="D6" s="2">
        <v>0</v>
      </c>
      <c r="E6" s="2">
        <v>0</v>
      </c>
      <c r="F6" s="2">
        <v>0</v>
      </c>
      <c r="G6" s="2">
        <v>0</v>
      </c>
      <c r="H6" s="2">
        <v>0</v>
      </c>
      <c r="I6" s="2">
        <v>1</v>
      </c>
      <c r="J6" s="2">
        <v>0</v>
      </c>
      <c r="K6" s="2">
        <v>0</v>
      </c>
      <c r="L6" s="2">
        <v>1</v>
      </c>
      <c r="M6" s="2">
        <v>1</v>
      </c>
      <c r="N6" s="2">
        <v>0</v>
      </c>
      <c r="O6" s="18" cm="1">
        <f t="array" ref="O6">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55</v>
      </c>
      <c r="U6" s="2" t="s">
        <v>20</v>
      </c>
      <c r="V6" s="2">
        <v>0.5</v>
      </c>
      <c r="W6" s="2">
        <v>0</v>
      </c>
      <c r="X6" s="2">
        <v>0</v>
      </c>
      <c r="Y6" s="2">
        <v>0</v>
      </c>
      <c r="Z6" s="2">
        <v>0</v>
      </c>
      <c r="AA6" s="2">
        <v>1</v>
      </c>
      <c r="AB6" s="2">
        <v>1</v>
      </c>
      <c r="AC6" s="2">
        <v>1</v>
      </c>
      <c r="AD6" s="2">
        <v>0</v>
      </c>
      <c r="AE6" s="2">
        <v>1</v>
      </c>
      <c r="AF6" s="2">
        <v>0</v>
      </c>
      <c r="AG6" s="18" cm="1">
        <f t="array" ref="AG6">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52.5</v>
      </c>
    </row>
    <row r="7" spans="1:33" ht="30" customHeight="1">
      <c r="A7" s="2" t="s">
        <v>21</v>
      </c>
      <c r="B7" s="2">
        <v>0</v>
      </c>
      <c r="C7" s="2">
        <v>0</v>
      </c>
      <c r="D7" s="2">
        <v>0</v>
      </c>
      <c r="E7" s="2">
        <v>0</v>
      </c>
      <c r="F7" s="2">
        <v>0</v>
      </c>
      <c r="G7" s="2">
        <v>0</v>
      </c>
      <c r="H7" s="2">
        <v>1.2</v>
      </c>
      <c r="I7" s="2">
        <v>1</v>
      </c>
      <c r="J7" s="2">
        <v>0</v>
      </c>
      <c r="K7" s="2">
        <v>0</v>
      </c>
      <c r="L7" s="2">
        <v>0</v>
      </c>
      <c r="M7" s="2">
        <v>1</v>
      </c>
      <c r="N7" s="2">
        <v>0</v>
      </c>
      <c r="O7" s="18" cm="1">
        <f t="array" ref="O7">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48</v>
      </c>
      <c r="U7" s="2" t="s">
        <v>21</v>
      </c>
      <c r="V7" s="2">
        <v>0.5</v>
      </c>
      <c r="W7" s="2">
        <v>0</v>
      </c>
      <c r="X7" s="2">
        <v>0</v>
      </c>
      <c r="Y7" s="2">
        <v>0</v>
      </c>
      <c r="Z7" s="2">
        <v>0</v>
      </c>
      <c r="AA7" s="2">
        <v>1</v>
      </c>
      <c r="AB7" s="2">
        <v>1</v>
      </c>
      <c r="AC7" s="2">
        <v>1</v>
      </c>
      <c r="AD7" s="2">
        <v>0</v>
      </c>
      <c r="AE7" s="2">
        <v>1</v>
      </c>
      <c r="AF7" s="2">
        <v>0</v>
      </c>
      <c r="AG7" s="18" cm="1">
        <f t="array" ref="AG7">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52.5</v>
      </c>
    </row>
    <row r="8" spans="1:33" ht="30" customHeight="1">
      <c r="A8" s="2" t="s">
        <v>22</v>
      </c>
      <c r="B8" s="2">
        <v>0</v>
      </c>
      <c r="C8" s="2">
        <v>0</v>
      </c>
      <c r="D8" s="2">
        <v>0</v>
      </c>
      <c r="E8" s="2">
        <v>0</v>
      </c>
      <c r="F8" s="2">
        <v>0</v>
      </c>
      <c r="G8" s="2">
        <v>0</v>
      </c>
      <c r="H8" s="2">
        <v>0</v>
      </c>
      <c r="I8" s="2">
        <v>1</v>
      </c>
      <c r="J8" s="2">
        <v>0</v>
      </c>
      <c r="K8" s="2">
        <v>0</v>
      </c>
      <c r="L8" s="2">
        <v>0</v>
      </c>
      <c r="M8" s="2">
        <v>1</v>
      </c>
      <c r="N8" s="2">
        <v>0</v>
      </c>
      <c r="O8" s="18" cm="1">
        <f t="array" ref="O8">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30</v>
      </c>
      <c r="U8" s="2" t="s">
        <v>22</v>
      </c>
      <c r="V8" s="2">
        <v>2</v>
      </c>
      <c r="W8" s="2">
        <v>0</v>
      </c>
      <c r="X8" s="2">
        <v>0</v>
      </c>
      <c r="Y8" s="2">
        <v>0</v>
      </c>
      <c r="Z8" s="2">
        <v>0</v>
      </c>
      <c r="AA8" s="2">
        <v>0</v>
      </c>
      <c r="AB8" s="2">
        <v>1</v>
      </c>
      <c r="AC8" s="2">
        <v>1</v>
      </c>
      <c r="AD8" s="2">
        <v>0</v>
      </c>
      <c r="AE8" s="2">
        <v>1</v>
      </c>
      <c r="AF8" s="2">
        <v>2</v>
      </c>
      <c r="AG8" s="18" cm="1">
        <f t="array" ref="AG8">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85</v>
      </c>
    </row>
    <row r="9" spans="1:33" ht="30" customHeight="1">
      <c r="A9" s="2" t="s">
        <v>23</v>
      </c>
      <c r="B9" s="2">
        <v>0</v>
      </c>
      <c r="C9" s="2">
        <v>0</v>
      </c>
      <c r="D9" s="2">
        <v>0</v>
      </c>
      <c r="E9" s="2">
        <v>0</v>
      </c>
      <c r="F9" s="2">
        <v>0</v>
      </c>
      <c r="G9" s="2">
        <v>0</v>
      </c>
      <c r="H9" s="2">
        <v>0</v>
      </c>
      <c r="I9" s="2">
        <v>1</v>
      </c>
      <c r="J9" s="2">
        <v>0</v>
      </c>
      <c r="K9" s="2">
        <v>0</v>
      </c>
      <c r="L9" s="2">
        <v>0</v>
      </c>
      <c r="M9" s="2">
        <v>1</v>
      </c>
      <c r="N9" s="2">
        <v>0</v>
      </c>
      <c r="O9" s="18" cm="1">
        <f t="array" ref="O9">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30</v>
      </c>
      <c r="U9" s="2" t="s">
        <v>23</v>
      </c>
      <c r="V9" s="2">
        <v>1.5</v>
      </c>
      <c r="W9" s="2">
        <v>0</v>
      </c>
      <c r="X9" s="2">
        <v>0</v>
      </c>
      <c r="Y9" s="2">
        <v>0</v>
      </c>
      <c r="Z9" s="2">
        <v>0</v>
      </c>
      <c r="AA9" s="2">
        <v>1</v>
      </c>
      <c r="AB9" s="2">
        <v>1</v>
      </c>
      <c r="AC9" s="2">
        <v>1</v>
      </c>
      <c r="AD9" s="2">
        <v>0</v>
      </c>
      <c r="AE9" s="2">
        <v>1</v>
      </c>
      <c r="AF9" s="2">
        <v>2</v>
      </c>
      <c r="AG9" s="18" cm="1">
        <f t="array" ref="AG9">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87.5</v>
      </c>
    </row>
    <row r="10" spans="1:33" ht="30" customHeight="1">
      <c r="A10" s="2" t="s">
        <v>24</v>
      </c>
      <c r="B10" s="2">
        <v>0</v>
      </c>
      <c r="C10" s="2">
        <v>0</v>
      </c>
      <c r="D10" s="2">
        <v>0</v>
      </c>
      <c r="E10" s="2">
        <v>0</v>
      </c>
      <c r="F10" s="2">
        <v>0</v>
      </c>
      <c r="G10" s="2">
        <v>0</v>
      </c>
      <c r="H10" s="2">
        <v>0</v>
      </c>
      <c r="I10" s="2">
        <v>0</v>
      </c>
      <c r="J10" s="2">
        <v>0</v>
      </c>
      <c r="K10" s="2">
        <v>0</v>
      </c>
      <c r="L10" s="2">
        <v>0</v>
      </c>
      <c r="M10" s="2">
        <v>0</v>
      </c>
      <c r="N10" s="2">
        <v>0</v>
      </c>
      <c r="O10" s="18" cm="1">
        <f t="array" ref="O10">SUM(Table21414185161720921[[#This Row],[LabCast Studying]]*15,Table21414185161720921[[#This Row],[LabCast]]*10, Table21414185161720921[[#This Row],[Wake up at 10:30
sleep at 2]]*15,Table21414185161720921[[#This Row],[Leetcode design
Leetcode algorithm]]*15,Table21414185161720921[[#This Row],[HairFlow Research]]*10,Table21414185161720921[[#This Row],[CS131]:[History 1C]]*15,Table21414185161720921[[#This Row],[P]]*15, Table21414185161720921[[#This Row],[gym ]]*15, Table21414185161720921[[#This Row],[Squash]]*15, Table21414185161720921[[#This Row],[PWR2]]*15, Table21414185161720921[[#This Row],[Screentime &lt; 2 hrs]]*10, Table21414185161720921[[#This Row],[Recharging ]]*10)</f>
        <v>0</v>
      </c>
      <c r="U10" s="2" t="s">
        <v>24</v>
      </c>
      <c r="V10" s="2">
        <v>0</v>
      </c>
      <c r="W10" s="2">
        <v>0</v>
      </c>
      <c r="X10" s="2">
        <v>0</v>
      </c>
      <c r="Y10" s="2">
        <v>0</v>
      </c>
      <c r="Z10" s="2">
        <v>0</v>
      </c>
      <c r="AA10" s="2">
        <v>0</v>
      </c>
      <c r="AB10" s="2">
        <v>0.5</v>
      </c>
      <c r="AC10" s="2">
        <v>1</v>
      </c>
      <c r="AD10" s="2">
        <v>0</v>
      </c>
      <c r="AE10" s="11">
        <v>1</v>
      </c>
      <c r="AF10" s="2">
        <v>5</v>
      </c>
      <c r="AG10" s="18" cm="1">
        <f t="array" ref="AG10">SUM(Table261312219781011[[#This Row],[CNS]:[RBS]]*15, Table261312219781011[[#This Row],[Work &amp; Reading]]*10,Table261312219781011[[#This Row],[Gym]]*10,Table261312219781011[[#This Row],[45 min Cardio]]*10,Table261312219781011[[#This Row],[Cut &amp; Hydration]]*15,Table261312219781011[[#This Row],[Negida Academy]]*10, Table261312219781011[[#This Row],[P]]*10, Table261312219781011[[#This Row],[RT]]*10, Table261312219781011[[#This Row],[quit scrolling]]*10)</f>
        <v>77.5</v>
      </c>
    </row>
    <row r="11" spans="1:33" ht="30" customHeight="1">
      <c r="A11" s="2" t="s">
        <v>25</v>
      </c>
      <c r="B11" s="3">
        <f t="shared" ref="B11:N11" si="0">SUM(B4:B10)</f>
        <v>1</v>
      </c>
      <c r="C11" s="3">
        <f t="shared" si="0"/>
        <v>0</v>
      </c>
      <c r="D11" s="3">
        <f t="shared" si="0"/>
        <v>0</v>
      </c>
      <c r="E11" s="3">
        <f t="shared" si="0"/>
        <v>0</v>
      </c>
      <c r="F11" s="3">
        <f t="shared" si="0"/>
        <v>0</v>
      </c>
      <c r="G11" s="3">
        <f t="shared" si="0"/>
        <v>0</v>
      </c>
      <c r="H11" s="3">
        <f t="shared" si="0"/>
        <v>1.2</v>
      </c>
      <c r="I11" s="3">
        <f t="shared" si="0"/>
        <v>5</v>
      </c>
      <c r="J11" s="3">
        <f t="shared" si="0"/>
        <v>1</v>
      </c>
      <c r="K11" s="3">
        <f t="shared" si="0"/>
        <v>0</v>
      </c>
      <c r="L11" s="3">
        <f t="shared" si="0"/>
        <v>1</v>
      </c>
      <c r="M11" s="3">
        <f t="shared" si="0"/>
        <v>5</v>
      </c>
      <c r="N11" s="3">
        <f t="shared" si="0"/>
        <v>4</v>
      </c>
      <c r="O11" s="18">
        <f>ROUND(SUM(O4:O10)/7, 0)</f>
        <v>35</v>
      </c>
      <c r="U11" s="2" t="s">
        <v>25</v>
      </c>
      <c r="V11" s="2">
        <v>0</v>
      </c>
      <c r="W11" s="3">
        <f t="shared" ref="W11" si="1">SUM(W4:W10)</f>
        <v>0</v>
      </c>
      <c r="X11" s="3">
        <f>SUM(X4:X10)</f>
        <v>0</v>
      </c>
      <c r="Y11" s="3">
        <f>SUM(Y4:Y10)</f>
        <v>0</v>
      </c>
      <c r="Z11" s="3">
        <v>0</v>
      </c>
      <c r="AA11" s="3">
        <f>SUM(AA4:AA10)</f>
        <v>4</v>
      </c>
      <c r="AB11" s="3">
        <f>SUM(AB4:AB10)</f>
        <v>5.5</v>
      </c>
      <c r="AC11" s="2">
        <v>0</v>
      </c>
      <c r="AD11" s="3">
        <f>SUM(AD4:AD10)</f>
        <v>0</v>
      </c>
      <c r="AE11" s="2">
        <v>1</v>
      </c>
      <c r="AF11" s="2">
        <v>0</v>
      </c>
      <c r="AG11" s="18">
        <f>ROUND(SUM(AG4:AG10)/7,0)</f>
        <v>65</v>
      </c>
    </row>
    <row r="12" spans="1:33" ht="24.95" customHeight="1">
      <c r="A12" s="20" t="s">
        <v>83</v>
      </c>
      <c r="B12" s="20"/>
      <c r="C12" s="20"/>
      <c r="D12" s="20"/>
      <c r="E12" s="20"/>
      <c r="F12" s="20"/>
      <c r="G12" s="20"/>
      <c r="H12" s="20"/>
      <c r="I12" s="20"/>
      <c r="J12" s="20"/>
      <c r="K12" s="20"/>
      <c r="L12" s="20"/>
      <c r="M12" s="20"/>
      <c r="N12" s="20"/>
      <c r="O12" s="20"/>
      <c r="AF12" t="s">
        <v>84</v>
      </c>
    </row>
    <row r="13" spans="1:33" ht="24.95" customHeight="1">
      <c r="A13" s="20"/>
      <c r="B13" s="20"/>
      <c r="C13" s="20"/>
      <c r="D13" s="20"/>
      <c r="E13" s="20"/>
      <c r="F13" s="20"/>
      <c r="G13" s="20"/>
      <c r="H13" s="20"/>
      <c r="I13" s="20"/>
      <c r="J13" s="20"/>
      <c r="K13" s="20"/>
      <c r="L13" s="20"/>
      <c r="M13" s="20"/>
      <c r="N13" s="20"/>
      <c r="O13" s="20"/>
    </row>
    <row r="14" spans="1:33" ht="24.95" customHeight="1">
      <c r="A14" s="20"/>
      <c r="B14" s="20"/>
      <c r="C14" s="20"/>
      <c r="D14" s="20"/>
      <c r="E14" s="20"/>
      <c r="F14" s="20"/>
      <c r="G14" s="20"/>
      <c r="H14" s="20"/>
      <c r="I14" s="20"/>
      <c r="J14" s="20"/>
      <c r="K14" s="20"/>
      <c r="L14" s="20"/>
      <c r="M14" s="20"/>
      <c r="N14" s="20"/>
      <c r="O14" s="20"/>
    </row>
    <row r="15" spans="1:33" ht="24.95" customHeight="1">
      <c r="A15" s="20"/>
      <c r="B15" s="20"/>
      <c r="C15" s="20"/>
      <c r="D15" s="20"/>
      <c r="E15" s="20"/>
      <c r="F15" s="20"/>
      <c r="G15" s="20"/>
      <c r="H15" s="20"/>
      <c r="I15" s="20"/>
      <c r="J15" s="20"/>
      <c r="K15" s="20"/>
      <c r="L15" s="20"/>
      <c r="M15" s="20"/>
      <c r="N15" s="20"/>
      <c r="O15" s="20"/>
    </row>
    <row r="16" spans="1:33">
      <c r="A16" s="20"/>
      <c r="B16" s="20"/>
      <c r="C16" s="20"/>
      <c r="D16" s="20"/>
      <c r="E16" s="20"/>
      <c r="F16" s="20"/>
      <c r="G16" s="20"/>
      <c r="H16" s="20"/>
      <c r="I16" s="20"/>
      <c r="J16" s="20"/>
      <c r="K16" s="20"/>
      <c r="L16" s="20"/>
      <c r="M16" s="20"/>
      <c r="N16" s="20"/>
      <c r="O16" s="20"/>
    </row>
    <row r="17" spans="1:15">
      <c r="A17" s="20"/>
      <c r="B17" s="20"/>
      <c r="C17" s="20"/>
      <c r="D17" s="20"/>
      <c r="E17" s="20"/>
      <c r="F17" s="20"/>
      <c r="G17" s="20"/>
      <c r="H17" s="20"/>
      <c r="I17" s="20"/>
      <c r="J17" s="20"/>
      <c r="K17" s="20"/>
      <c r="L17" s="20"/>
      <c r="M17" s="20"/>
      <c r="N17" s="20"/>
      <c r="O17" s="20"/>
    </row>
    <row r="18" spans="1:15">
      <c r="A18" s="20"/>
      <c r="B18" s="20"/>
      <c r="C18" s="20"/>
      <c r="D18" s="20"/>
      <c r="E18" s="20"/>
      <c r="F18" s="20"/>
      <c r="G18" s="20"/>
      <c r="H18" s="20"/>
      <c r="I18" s="20"/>
      <c r="J18" s="20"/>
      <c r="K18" s="20"/>
      <c r="L18" s="20"/>
      <c r="M18" s="20"/>
      <c r="N18" s="20"/>
      <c r="O18" s="20"/>
    </row>
    <row r="19" spans="1:15">
      <c r="A19" s="20" t="s">
        <v>85</v>
      </c>
      <c r="B19" s="20"/>
      <c r="C19" s="20"/>
      <c r="D19" s="20"/>
      <c r="E19" s="20"/>
      <c r="F19" s="20"/>
      <c r="G19" s="20"/>
      <c r="H19" s="20"/>
      <c r="I19" s="20"/>
      <c r="J19" s="20"/>
      <c r="K19" s="20"/>
      <c r="L19" s="20"/>
      <c r="M19" s="20"/>
      <c r="N19" s="20"/>
      <c r="O19" s="20"/>
    </row>
    <row r="20" spans="1:15">
      <c r="A20" s="20"/>
      <c r="B20" s="20"/>
      <c r="C20" s="20"/>
      <c r="D20" s="20"/>
      <c r="E20" s="20"/>
      <c r="F20" s="20"/>
      <c r="G20" s="20"/>
      <c r="H20" s="20"/>
      <c r="I20" s="20"/>
      <c r="J20" s="20"/>
      <c r="K20" s="20"/>
      <c r="L20" s="20"/>
      <c r="M20" s="20"/>
      <c r="N20" s="20"/>
      <c r="O20" s="20"/>
    </row>
    <row r="21" spans="1:15">
      <c r="A21" s="20"/>
      <c r="B21" s="20"/>
      <c r="C21" s="20"/>
      <c r="D21" s="20"/>
      <c r="E21" s="20"/>
      <c r="F21" s="20"/>
      <c r="G21" s="20"/>
      <c r="H21" s="20"/>
      <c r="I21" s="20"/>
      <c r="J21" s="20"/>
      <c r="K21" s="20"/>
      <c r="L21" s="20"/>
      <c r="M21" s="20"/>
      <c r="N21" s="20"/>
      <c r="O21" s="20"/>
    </row>
    <row r="22" spans="1:15">
      <c r="A22" s="20"/>
      <c r="B22" s="20"/>
      <c r="C22" s="20"/>
      <c r="D22" s="20"/>
      <c r="E22" s="20"/>
      <c r="F22" s="20"/>
      <c r="G22" s="20"/>
      <c r="H22" s="20"/>
      <c r="I22" s="20"/>
      <c r="J22" s="20"/>
      <c r="K22" s="20"/>
      <c r="L22" s="20"/>
      <c r="M22" s="20"/>
      <c r="N22" s="20"/>
      <c r="O22" s="20"/>
    </row>
    <row r="23" spans="1:15">
      <c r="A23" s="20"/>
      <c r="B23" s="20"/>
      <c r="C23" s="20"/>
      <c r="D23" s="20"/>
      <c r="E23" s="20"/>
      <c r="F23" s="20"/>
      <c r="G23" s="20"/>
      <c r="H23" s="20"/>
      <c r="I23" s="20"/>
      <c r="J23" s="20"/>
      <c r="K23" s="20"/>
      <c r="L23" s="20"/>
      <c r="M23" s="20"/>
      <c r="N23" s="20"/>
      <c r="O23" s="20"/>
    </row>
    <row r="24" spans="1:15">
      <c r="A24" s="20"/>
      <c r="B24" s="20"/>
      <c r="C24" s="20"/>
      <c r="D24" s="20"/>
      <c r="E24" s="20"/>
      <c r="F24" s="20"/>
      <c r="G24" s="20"/>
      <c r="H24" s="20"/>
      <c r="I24" s="20"/>
      <c r="J24" s="20"/>
      <c r="K24" s="20"/>
      <c r="L24" s="20"/>
      <c r="M24" s="20"/>
      <c r="N24" s="20"/>
      <c r="O24" s="20"/>
    </row>
    <row r="25" spans="1:15">
      <c r="A25" s="20"/>
      <c r="B25" s="20"/>
      <c r="C25" s="20"/>
      <c r="D25" s="20"/>
      <c r="E25" s="20"/>
      <c r="F25" s="20"/>
      <c r="G25" s="20"/>
      <c r="H25" s="20"/>
      <c r="I25" s="20"/>
      <c r="J25" s="20"/>
      <c r="K25" s="20"/>
      <c r="L25" s="20"/>
      <c r="M25" s="20"/>
      <c r="N25" s="20"/>
      <c r="O25" s="20"/>
    </row>
    <row r="26" spans="1:15">
      <c r="A26" s="21" t="s">
        <v>86</v>
      </c>
      <c r="B26" s="21"/>
      <c r="C26" s="21"/>
      <c r="D26" s="21"/>
      <c r="E26" s="21"/>
      <c r="F26" s="21"/>
      <c r="G26" s="21"/>
      <c r="H26" s="21"/>
      <c r="I26" s="21"/>
      <c r="J26" s="21"/>
      <c r="K26" s="21"/>
      <c r="L26" s="21"/>
      <c r="M26" s="21"/>
      <c r="N26" s="21"/>
      <c r="O26" s="21"/>
    </row>
    <row r="27" spans="1:15">
      <c r="A27" s="21"/>
      <c r="B27" s="21"/>
      <c r="C27" s="21"/>
      <c r="D27" s="21"/>
      <c r="E27" s="21"/>
      <c r="F27" s="21"/>
      <c r="G27" s="21"/>
      <c r="H27" s="21"/>
      <c r="I27" s="21"/>
      <c r="J27" s="21"/>
      <c r="K27" s="21"/>
      <c r="L27" s="21"/>
      <c r="M27" s="21"/>
      <c r="N27" s="21"/>
      <c r="O27" s="21"/>
    </row>
    <row r="28" spans="1:15">
      <c r="A28" s="21"/>
      <c r="B28" s="21"/>
      <c r="C28" s="21"/>
      <c r="D28" s="21"/>
      <c r="E28" s="21"/>
      <c r="F28" s="21"/>
      <c r="G28" s="21"/>
      <c r="H28" s="21"/>
      <c r="I28" s="21"/>
      <c r="J28" s="21"/>
      <c r="K28" s="21"/>
      <c r="L28" s="21"/>
      <c r="M28" s="21"/>
      <c r="N28" s="21"/>
      <c r="O28" s="21"/>
    </row>
    <row r="29" spans="1:15">
      <c r="A29" s="21"/>
      <c r="B29" s="21"/>
      <c r="C29" s="21"/>
      <c r="D29" s="21"/>
      <c r="E29" s="21"/>
      <c r="F29" s="21"/>
      <c r="G29" s="21"/>
      <c r="H29" s="21"/>
      <c r="I29" s="21"/>
      <c r="J29" s="21"/>
      <c r="K29" s="21"/>
      <c r="L29" s="21"/>
      <c r="M29" s="21"/>
      <c r="N29" s="21"/>
      <c r="O29" s="21"/>
    </row>
    <row r="30" spans="1:15">
      <c r="A30" s="21"/>
      <c r="B30" s="21"/>
      <c r="C30" s="21"/>
      <c r="D30" s="21"/>
      <c r="E30" s="21"/>
      <c r="F30" s="21"/>
      <c r="G30" s="21"/>
      <c r="H30" s="21"/>
      <c r="I30" s="21"/>
      <c r="J30" s="21"/>
      <c r="K30" s="21"/>
      <c r="L30" s="21"/>
      <c r="M30" s="21"/>
      <c r="N30" s="21"/>
      <c r="O30" s="21"/>
    </row>
    <row r="31" spans="1:15">
      <c r="A31" s="21"/>
      <c r="B31" s="21"/>
      <c r="C31" s="21"/>
      <c r="D31" s="21"/>
      <c r="E31" s="21"/>
      <c r="F31" s="21"/>
      <c r="G31" s="21"/>
      <c r="H31" s="21"/>
      <c r="I31" s="21"/>
      <c r="J31" s="21"/>
      <c r="K31" s="21"/>
      <c r="L31" s="21"/>
      <c r="M31" s="21"/>
      <c r="N31" s="21"/>
      <c r="O31" s="21"/>
    </row>
    <row r="32" spans="1:15">
      <c r="A32" s="21"/>
      <c r="B32" s="21"/>
      <c r="C32" s="21"/>
      <c r="D32" s="21"/>
      <c r="E32" s="21"/>
      <c r="F32" s="21"/>
      <c r="G32" s="21"/>
      <c r="H32" s="21"/>
      <c r="I32" s="21"/>
      <c r="J32" s="21"/>
      <c r="K32" s="21"/>
      <c r="L32" s="21"/>
      <c r="M32" s="21"/>
      <c r="N32" s="21"/>
      <c r="O32" s="21"/>
    </row>
  </sheetData>
  <mergeCells count="5">
    <mergeCell ref="A1:A2"/>
    <mergeCell ref="A12:O18"/>
    <mergeCell ref="A19:O25"/>
    <mergeCell ref="U1:U2"/>
    <mergeCell ref="A26:O32"/>
  </mergeCells>
  <conditionalFormatting sqref="B11:N11">
    <cfRule type="colorScale" priority="13">
      <colorScale>
        <cfvo type="num" val="0"/>
        <cfvo type="percentile" val="50"/>
        <cfvo type="num" val="15"/>
        <color theme="7" tint="0.79998168889431442"/>
        <color theme="9" tint="0.59999389629810485"/>
        <color theme="9"/>
      </colorScale>
    </cfRule>
  </conditionalFormatting>
  <conditionalFormatting sqref="H5:H10 B5:B10 B11:N11">
    <cfRule type="colorScale" priority="15">
      <colorScale>
        <cfvo type="num" val="0"/>
        <cfvo type="percentile" val="50"/>
        <cfvo type="num" val="100"/>
        <color theme="7" tint="0.79998168889431442"/>
        <color theme="9" tint="0.39997558519241921"/>
        <color theme="9" tint="-0.499984740745262"/>
      </colorScale>
    </cfRule>
  </conditionalFormatting>
  <conditionalFormatting sqref="H5:H10 B5:B10">
    <cfRule type="colorScale" priority="14">
      <colorScale>
        <cfvo type="num" val="0"/>
        <cfvo type="percentile" val="50"/>
        <cfvo type="num" val="4"/>
        <color theme="7" tint="0.79998168889431442"/>
        <color theme="9" tint="0.39997558519241921"/>
        <color theme="9" tint="-0.249977111117893"/>
      </colorScale>
    </cfRule>
  </conditionalFormatting>
  <conditionalFormatting sqref="I5:N10 B4:N4 C5:G10">
    <cfRule type="colorScale" priority="9">
      <colorScale>
        <cfvo type="num" val="0"/>
        <cfvo type="percentile" val="50"/>
        <cfvo type="num" val="4"/>
        <color theme="7" tint="0.79998168889431442"/>
        <color theme="9" tint="0.39997558519241921"/>
        <color theme="9" tint="-0.249977111117893"/>
      </colorScale>
    </cfRule>
    <cfRule type="colorScale" priority="10">
      <colorScale>
        <cfvo type="num" val="0"/>
        <cfvo type="percentile" val="50"/>
        <cfvo type="num" val="100"/>
        <color theme="7" tint="0.79998168889431442"/>
        <color theme="9" tint="0.39997558519241921"/>
        <color theme="9" tint="-0.499984740745262"/>
      </colorScale>
    </cfRule>
  </conditionalFormatting>
  <conditionalFormatting sqref="O4:O11">
    <cfRule type="colorScale" priority="11">
      <colorScale>
        <cfvo type="num" val="0"/>
        <cfvo type="percentile" val="50"/>
        <cfvo type="num" val="100"/>
        <color theme="7" tint="0.79998168889431442"/>
        <color theme="9" tint="0.79998168889431442"/>
        <color theme="9"/>
      </colorScale>
    </cfRule>
    <cfRule type="colorScale" priority="12">
      <colorScale>
        <cfvo type="num" val="0"/>
        <cfvo type="num" val="100"/>
        <color theme="7" tint="0.79998168889431442"/>
        <color theme="9" tint="-0.249977111117893"/>
      </colorScale>
    </cfRule>
  </conditionalFormatting>
  <conditionalFormatting sqref="V4:AE11">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V11:AE11 AA4:AA10">
    <cfRule type="colorScale" priority="3">
      <colorScale>
        <cfvo type="num" val="0"/>
        <cfvo type="percentile" val="50"/>
        <cfvo type="num" val="15"/>
        <color theme="7" tint="0.79998168889431442"/>
        <color theme="9" tint="0.59999389629810485"/>
        <color theme="9"/>
      </colorScale>
    </cfRule>
  </conditionalFormatting>
  <conditionalFormatting sqref="AE4:AE11 V11 AC4:AC11 V4:AB10 AD4:AD10 V10:AC10 X9:AE9">
    <cfRule type="colorScale" priority="4">
      <colorScale>
        <cfvo type="num" val="0"/>
        <cfvo type="percentile" val="50"/>
        <cfvo type="num" val="4"/>
        <color theme="7" tint="0.79998168889431442"/>
        <color theme="9" tint="0.39997558519241921"/>
        <color theme="9" tint="-0.249977111117893"/>
      </colorScale>
    </cfRule>
  </conditionalFormatting>
  <conditionalFormatting sqref="AF4:AF11">
    <cfRule type="colorScale" priority="7">
      <colorScale>
        <cfvo type="num" val="0"/>
        <cfvo type="percentile" val="50"/>
        <cfvo type="num" val="4"/>
        <color theme="7" tint="0.79998168889431442"/>
        <color theme="9" tint="0.39997558519241921"/>
        <color theme="9" tint="-0.249977111117893"/>
      </colorScale>
    </cfRule>
    <cfRule type="colorScale" priority="8">
      <colorScale>
        <cfvo type="num" val="0"/>
        <cfvo type="percentile" val="50"/>
        <cfvo type="num" val="100"/>
        <color theme="7" tint="0.79998168889431442"/>
        <color theme="9" tint="0.39997558519241921"/>
        <color theme="9" tint="-0.499984740745262"/>
      </colorScale>
    </cfRule>
  </conditionalFormatting>
  <conditionalFormatting sqref="AF11">
    <cfRule type="colorScale" priority="6">
      <colorScale>
        <cfvo type="num" val="0"/>
        <cfvo type="percentile" val="50"/>
        <cfvo type="num" val="15"/>
        <color theme="7" tint="0.79998168889431442"/>
        <color theme="9" tint="0.59999389629810485"/>
        <color theme="9"/>
      </colorScale>
    </cfRule>
  </conditionalFormatting>
  <conditionalFormatting sqref="AG4:AG11">
    <cfRule type="colorScale" priority="1">
      <colorScale>
        <cfvo type="num" val="0"/>
        <cfvo type="percentile" val="50"/>
        <cfvo type="num" val="100"/>
        <color theme="7" tint="0.79998168889431442"/>
        <color theme="9" tint="0.79998168889431442"/>
        <color theme="9"/>
      </colorScale>
    </cfRule>
    <cfRule type="colorScale" priority="2">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6429-A15F-4176-8009-39B93F911BCA}">
  <dimension ref="A1:AH25"/>
  <sheetViews>
    <sheetView topLeftCell="W1" zoomScale="55" zoomScaleNormal="85" workbookViewId="0">
      <selection activeCell="Y5" sqref="Y5"/>
    </sheetView>
  </sheetViews>
  <sheetFormatPr defaultRowHeight="15"/>
  <cols>
    <col min="1" max="3" width="20.7109375" customWidth="1"/>
    <col min="4" max="4" width="0.7109375" hidden="1" customWidth="1"/>
    <col min="5" max="7" width="20.7109375" customWidth="1"/>
    <col min="8" max="8" width="23.7109375" customWidth="1"/>
    <col min="9" max="16" width="20.7109375" customWidth="1"/>
    <col min="22" max="34" width="20.7109375" customWidth="1"/>
  </cols>
  <sheetData>
    <row r="1" spans="1:34" ht="30" customHeight="1">
      <c r="A1" s="19" t="s">
        <v>0</v>
      </c>
      <c r="B1" s="12"/>
      <c r="C1" s="12"/>
      <c r="D1" s="12"/>
      <c r="E1" s="12"/>
      <c r="F1" s="12"/>
      <c r="G1" s="12"/>
      <c r="H1" s="12"/>
      <c r="I1" s="12"/>
      <c r="J1" s="12"/>
      <c r="K1" s="12"/>
      <c r="L1" s="12"/>
      <c r="M1" s="12"/>
      <c r="N1" s="12"/>
      <c r="O1" s="12"/>
      <c r="P1" s="12"/>
      <c r="V1" s="19" t="s">
        <v>1</v>
      </c>
      <c r="W1" s="17"/>
      <c r="X1" s="17"/>
      <c r="Y1" s="17"/>
      <c r="Z1" s="17"/>
      <c r="AA1" s="17"/>
      <c r="AB1" s="17"/>
      <c r="AC1" s="17"/>
    </row>
    <row r="2" spans="1:34" ht="30" customHeight="1">
      <c r="A2" s="19"/>
      <c r="B2" s="12"/>
      <c r="C2" s="12"/>
      <c r="D2" s="12"/>
      <c r="E2" s="12"/>
      <c r="F2" s="12"/>
      <c r="G2" s="12"/>
      <c r="H2" s="12"/>
      <c r="I2" s="12"/>
      <c r="J2" s="12"/>
      <c r="K2" s="12"/>
      <c r="L2" s="12"/>
      <c r="M2" s="12"/>
      <c r="N2" s="12"/>
      <c r="O2" s="12"/>
      <c r="P2" s="12"/>
      <c r="V2" s="19"/>
      <c r="W2" s="17"/>
      <c r="X2" s="17"/>
      <c r="Y2" s="17"/>
      <c r="Z2" s="17"/>
      <c r="AA2" s="17"/>
      <c r="AB2" s="17"/>
      <c r="AC2" s="17"/>
    </row>
    <row r="3" spans="1:34" ht="48" customHeight="1">
      <c r="A3" s="1" t="s">
        <v>2</v>
      </c>
      <c r="B3" s="10" t="s">
        <v>66</v>
      </c>
      <c r="C3" s="10" t="s">
        <v>67</v>
      </c>
      <c r="D3" s="10" t="s">
        <v>48</v>
      </c>
      <c r="E3" s="10" t="s">
        <v>79</v>
      </c>
      <c r="F3" s="10" t="s">
        <v>80</v>
      </c>
      <c r="G3" s="10" t="s">
        <v>81</v>
      </c>
      <c r="H3" s="10" t="s">
        <v>87</v>
      </c>
      <c r="I3" s="10" t="s">
        <v>82</v>
      </c>
      <c r="J3" s="1" t="s">
        <v>30</v>
      </c>
      <c r="K3" s="1" t="s">
        <v>9</v>
      </c>
      <c r="L3" s="10" t="s">
        <v>88</v>
      </c>
      <c r="M3" s="10" t="s">
        <v>31</v>
      </c>
      <c r="N3" s="1" t="s">
        <v>10</v>
      </c>
      <c r="O3" s="10" t="s">
        <v>89</v>
      </c>
      <c r="P3" s="1" t="s">
        <v>11</v>
      </c>
      <c r="V3" s="1" t="s">
        <v>61</v>
      </c>
      <c r="W3" s="1" t="s">
        <v>74</v>
      </c>
      <c r="X3" s="1" t="s">
        <v>75</v>
      </c>
      <c r="Y3" s="1" t="s">
        <v>14</v>
      </c>
      <c r="Z3" s="1" t="s">
        <v>55</v>
      </c>
      <c r="AA3" s="1" t="s">
        <v>49</v>
      </c>
      <c r="AB3" s="1" t="s">
        <v>16</v>
      </c>
      <c r="AC3" s="1" t="s">
        <v>56</v>
      </c>
      <c r="AD3" s="1" t="s">
        <v>62</v>
      </c>
      <c r="AE3" s="1" t="s">
        <v>70</v>
      </c>
      <c r="AF3" s="1" t="s">
        <v>10</v>
      </c>
      <c r="AG3" s="1" t="s">
        <v>76</v>
      </c>
      <c r="AH3" s="1" t="s">
        <v>11</v>
      </c>
    </row>
    <row r="4" spans="1:34" ht="30" customHeight="1">
      <c r="A4" s="2" t="s">
        <v>18</v>
      </c>
      <c r="B4" s="2">
        <v>0</v>
      </c>
      <c r="C4" s="2">
        <v>0</v>
      </c>
      <c r="D4" s="2">
        <v>0</v>
      </c>
      <c r="E4" s="2">
        <v>0</v>
      </c>
      <c r="F4" s="2">
        <v>0.5</v>
      </c>
      <c r="G4" s="2">
        <v>0</v>
      </c>
      <c r="H4" s="2">
        <v>0</v>
      </c>
      <c r="I4" s="2">
        <v>0</v>
      </c>
      <c r="J4" s="2">
        <v>1</v>
      </c>
      <c r="K4" s="2">
        <v>0</v>
      </c>
      <c r="L4" s="2">
        <v>0</v>
      </c>
      <c r="M4" s="2">
        <v>0</v>
      </c>
      <c r="N4" s="2">
        <v>0</v>
      </c>
      <c r="O4" s="2">
        <v>3</v>
      </c>
      <c r="P4" s="18" cm="1">
        <f t="array" ref="P4">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52.5</v>
      </c>
      <c r="V4" s="2" t="s">
        <v>18</v>
      </c>
      <c r="W4" s="2">
        <v>2</v>
      </c>
      <c r="X4" s="2">
        <v>0</v>
      </c>
      <c r="Y4" s="2">
        <v>0</v>
      </c>
      <c r="Z4" s="2">
        <v>0</v>
      </c>
      <c r="AA4" s="2">
        <v>0</v>
      </c>
      <c r="AB4" s="3">
        <v>1</v>
      </c>
      <c r="AC4" s="2">
        <v>1</v>
      </c>
      <c r="AD4" s="2">
        <v>1</v>
      </c>
      <c r="AE4" s="11">
        <v>0</v>
      </c>
      <c r="AF4" s="2">
        <v>1</v>
      </c>
      <c r="AG4" s="2">
        <v>0</v>
      </c>
      <c r="AH4" s="18" cm="1">
        <f t="array" ref="AH4">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75</v>
      </c>
    </row>
    <row r="5" spans="1:34" ht="30" customHeight="1">
      <c r="A5" s="2" t="s">
        <v>19</v>
      </c>
      <c r="B5" s="2">
        <v>0</v>
      </c>
      <c r="C5" s="2">
        <v>0</v>
      </c>
      <c r="D5" s="2">
        <v>0</v>
      </c>
      <c r="E5" s="2">
        <v>0</v>
      </c>
      <c r="F5" s="2">
        <v>0</v>
      </c>
      <c r="G5" s="2">
        <v>0</v>
      </c>
      <c r="H5" s="2">
        <v>4</v>
      </c>
      <c r="I5" s="2">
        <v>0</v>
      </c>
      <c r="J5" s="2">
        <v>0</v>
      </c>
      <c r="K5" s="2">
        <v>1</v>
      </c>
      <c r="L5" s="2">
        <v>1</v>
      </c>
      <c r="M5" s="2">
        <v>0</v>
      </c>
      <c r="N5" s="2">
        <v>1</v>
      </c>
      <c r="O5" s="2">
        <v>0</v>
      </c>
      <c r="P5" s="18" cm="1">
        <f t="array" ref="P5">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80</v>
      </c>
      <c r="V5" s="2" t="s">
        <v>19</v>
      </c>
      <c r="W5" s="2">
        <v>2</v>
      </c>
      <c r="X5" s="2">
        <v>0</v>
      </c>
      <c r="Y5" s="2">
        <v>0</v>
      </c>
      <c r="Z5" s="2">
        <v>0</v>
      </c>
      <c r="AA5" s="2">
        <v>0</v>
      </c>
      <c r="AB5" s="2">
        <v>1</v>
      </c>
      <c r="AC5" s="2">
        <v>1</v>
      </c>
      <c r="AD5" s="2">
        <v>0.5</v>
      </c>
      <c r="AE5" s="2">
        <v>0</v>
      </c>
      <c r="AF5" s="2">
        <v>1</v>
      </c>
      <c r="AG5" s="2">
        <v>0</v>
      </c>
      <c r="AH5" s="18" cm="1">
        <f t="array" ref="AH5">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70</v>
      </c>
    </row>
    <row r="6" spans="1:34" ht="30" customHeight="1">
      <c r="A6" s="2" t="s">
        <v>20</v>
      </c>
      <c r="B6" s="2">
        <v>0</v>
      </c>
      <c r="C6" s="2">
        <v>0</v>
      </c>
      <c r="D6" s="2">
        <v>0</v>
      </c>
      <c r="E6" s="2">
        <v>0</v>
      </c>
      <c r="F6" s="2">
        <v>0</v>
      </c>
      <c r="G6" s="2">
        <v>1</v>
      </c>
      <c r="H6" s="2">
        <v>1</v>
      </c>
      <c r="I6" s="2">
        <v>0</v>
      </c>
      <c r="J6" s="2">
        <v>0</v>
      </c>
      <c r="K6" s="2">
        <v>0</v>
      </c>
      <c r="L6" s="2">
        <v>1</v>
      </c>
      <c r="M6" s="2">
        <v>1</v>
      </c>
      <c r="N6" s="2">
        <v>1</v>
      </c>
      <c r="O6" s="2">
        <v>3.5</v>
      </c>
      <c r="P6" s="18" cm="1">
        <f t="array" ref="P6">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100</v>
      </c>
      <c r="V6" s="2" t="s">
        <v>20</v>
      </c>
      <c r="W6" s="2">
        <v>2</v>
      </c>
      <c r="X6" s="2">
        <v>0</v>
      </c>
      <c r="Y6" s="2">
        <v>0</v>
      </c>
      <c r="Z6" s="2">
        <v>0</v>
      </c>
      <c r="AA6" s="2">
        <v>0</v>
      </c>
      <c r="AB6" s="2">
        <v>1</v>
      </c>
      <c r="AC6" s="2">
        <v>1</v>
      </c>
      <c r="AD6" s="2">
        <v>0.5</v>
      </c>
      <c r="AE6" s="2">
        <v>0</v>
      </c>
      <c r="AF6" s="2">
        <v>1</v>
      </c>
      <c r="AG6" s="2">
        <v>0</v>
      </c>
      <c r="AH6" s="18" cm="1">
        <f t="array" ref="AH6">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70</v>
      </c>
    </row>
    <row r="7" spans="1:34" ht="30" customHeight="1">
      <c r="A7" s="2" t="s">
        <v>21</v>
      </c>
      <c r="B7" s="2">
        <v>0</v>
      </c>
      <c r="C7" s="2">
        <v>0</v>
      </c>
      <c r="D7" s="2">
        <v>0</v>
      </c>
      <c r="E7" s="2">
        <v>0</v>
      </c>
      <c r="F7" s="2">
        <v>0</v>
      </c>
      <c r="G7" s="2">
        <v>0</v>
      </c>
      <c r="H7" s="2">
        <v>2</v>
      </c>
      <c r="I7" s="2">
        <v>1</v>
      </c>
      <c r="J7" s="2">
        <v>1</v>
      </c>
      <c r="K7" s="2">
        <v>0</v>
      </c>
      <c r="L7" s="2">
        <v>1</v>
      </c>
      <c r="M7" s="2">
        <v>0.5</v>
      </c>
      <c r="N7" s="2">
        <v>0</v>
      </c>
      <c r="O7" s="2">
        <v>0</v>
      </c>
      <c r="P7" s="18" cm="1">
        <f t="array" ref="P7">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67.5</v>
      </c>
      <c r="V7" s="2" t="s">
        <v>21</v>
      </c>
      <c r="W7" s="2">
        <v>2</v>
      </c>
      <c r="X7" s="2">
        <v>0</v>
      </c>
      <c r="Y7" s="2">
        <v>0</v>
      </c>
      <c r="Z7" s="2">
        <v>0</v>
      </c>
      <c r="AA7" s="2">
        <v>0</v>
      </c>
      <c r="AB7" s="2">
        <v>1</v>
      </c>
      <c r="AC7" s="2">
        <v>1</v>
      </c>
      <c r="AD7" s="2">
        <v>0.5</v>
      </c>
      <c r="AE7" s="2">
        <v>0</v>
      </c>
      <c r="AF7" s="2">
        <v>1</v>
      </c>
      <c r="AG7" s="2">
        <v>0</v>
      </c>
      <c r="AH7" s="18" cm="1">
        <f t="array" ref="AH7">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70</v>
      </c>
    </row>
    <row r="8" spans="1:34" ht="30" customHeight="1">
      <c r="A8" s="2" t="s">
        <v>22</v>
      </c>
      <c r="B8" s="2">
        <v>0</v>
      </c>
      <c r="C8" s="2">
        <v>0</v>
      </c>
      <c r="D8" s="2">
        <v>0</v>
      </c>
      <c r="E8" s="2">
        <v>0</v>
      </c>
      <c r="F8" s="2">
        <v>0</v>
      </c>
      <c r="G8" s="2">
        <v>0</v>
      </c>
      <c r="H8" s="2">
        <v>0</v>
      </c>
      <c r="I8" s="2">
        <v>0</v>
      </c>
      <c r="J8" s="2">
        <v>1</v>
      </c>
      <c r="K8" s="2">
        <v>0</v>
      </c>
      <c r="L8" s="2">
        <v>1</v>
      </c>
      <c r="M8" s="2">
        <v>0</v>
      </c>
      <c r="N8" s="2">
        <v>1</v>
      </c>
      <c r="O8" s="2">
        <v>0</v>
      </c>
      <c r="P8" s="18" cm="1">
        <f t="array" ref="P8">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40</v>
      </c>
      <c r="V8" s="2" t="s">
        <v>22</v>
      </c>
      <c r="W8" s="2">
        <v>2</v>
      </c>
      <c r="X8" s="2">
        <v>0</v>
      </c>
      <c r="Y8" s="2">
        <v>0</v>
      </c>
      <c r="Z8" s="2">
        <v>0</v>
      </c>
      <c r="AA8" s="2">
        <v>0</v>
      </c>
      <c r="AB8" s="2">
        <v>1</v>
      </c>
      <c r="AC8" s="2">
        <v>1</v>
      </c>
      <c r="AD8" s="2">
        <v>0.5</v>
      </c>
      <c r="AE8" s="2">
        <v>0</v>
      </c>
      <c r="AF8" s="2">
        <v>1</v>
      </c>
      <c r="AG8" s="2">
        <v>0</v>
      </c>
      <c r="AH8" s="18" cm="1">
        <f t="array" ref="AH8">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70</v>
      </c>
    </row>
    <row r="9" spans="1:34" ht="30" customHeight="1">
      <c r="A9" s="2" t="s">
        <v>23</v>
      </c>
      <c r="B9" s="2">
        <v>0</v>
      </c>
      <c r="C9" s="2">
        <v>0</v>
      </c>
      <c r="D9" s="2">
        <v>0</v>
      </c>
      <c r="E9" s="2">
        <v>0</v>
      </c>
      <c r="F9" s="2">
        <v>0</v>
      </c>
      <c r="G9" s="2">
        <v>0</v>
      </c>
      <c r="H9" s="2">
        <v>0</v>
      </c>
      <c r="I9" s="2">
        <v>0</v>
      </c>
      <c r="J9" s="2">
        <v>0</v>
      </c>
      <c r="K9" s="2">
        <v>1</v>
      </c>
      <c r="L9" s="2">
        <v>1</v>
      </c>
      <c r="M9" s="2">
        <v>0</v>
      </c>
      <c r="N9" s="2">
        <v>1</v>
      </c>
      <c r="O9" s="2">
        <v>3</v>
      </c>
      <c r="P9" s="18" cm="1">
        <f t="array" ref="P9">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70</v>
      </c>
      <c r="V9" s="2" t="s">
        <v>23</v>
      </c>
      <c r="W9" s="2">
        <v>1</v>
      </c>
      <c r="X9" s="2">
        <v>0</v>
      </c>
      <c r="Y9" s="2">
        <v>0</v>
      </c>
      <c r="Z9" s="2">
        <v>0</v>
      </c>
      <c r="AA9" s="2">
        <v>0</v>
      </c>
      <c r="AB9" s="2">
        <v>0</v>
      </c>
      <c r="AC9" s="2">
        <v>0.5</v>
      </c>
      <c r="AD9" s="2">
        <v>0</v>
      </c>
      <c r="AE9" s="2">
        <v>0</v>
      </c>
      <c r="AF9" s="2">
        <v>1</v>
      </c>
      <c r="AG9" s="2">
        <v>3</v>
      </c>
      <c r="AH9" s="18" cm="1">
        <f t="array" ref="AH9">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62.5</v>
      </c>
    </row>
    <row r="10" spans="1:34" ht="30" customHeight="1">
      <c r="A10" s="2" t="s">
        <v>24</v>
      </c>
      <c r="B10" s="2">
        <v>0</v>
      </c>
      <c r="C10" s="2">
        <v>0</v>
      </c>
      <c r="D10" s="2">
        <v>0</v>
      </c>
      <c r="E10" s="2">
        <v>0</v>
      </c>
      <c r="F10" s="2">
        <v>0</v>
      </c>
      <c r="G10" s="2">
        <v>0</v>
      </c>
      <c r="H10" s="2">
        <v>0</v>
      </c>
      <c r="I10" s="2">
        <v>0</v>
      </c>
      <c r="J10" s="2">
        <v>0</v>
      </c>
      <c r="K10" s="2">
        <v>0</v>
      </c>
      <c r="L10" s="2">
        <v>1</v>
      </c>
      <c r="M10" s="2">
        <v>0</v>
      </c>
      <c r="N10" s="2">
        <v>0</v>
      </c>
      <c r="O10" s="2">
        <v>0</v>
      </c>
      <c r="P10" s="18" cm="1">
        <f t="array" ref="P10">SUM(Table2141418516172092121[[#This Row],[LabCast Studying]]*15,Table2141418516172092121[[#This Row],[Admin Tasks (indiv)]]*10,Table2141418516172092121[[#This Row],[LabCast]]*10, Table2141418516172092121[[#This Row],[Wake up at 10:30
sleep at 2]]*15,Table2141418516172092121[[#This Row],[Leetcode design
Leetcode algorithm]]*15,Table2141418516172092121[[#This Row],[HairFlow Research]]*10,Table2141418516172092121[[#This Row],[CS131]:[History 1C]]*15,Table2141418516172092121[[#This Row],[P]]*15, Table2141418516172092121[[#This Row],[gym ]]*15, Table2141418516172092121[[#This Row],[Squash]]*15, Table2141418516172092121[[#This Row],[PWR2]]*15, Table2141418516172092121[[#This Row],[Screentime &lt; 2 hr
(excl whats, discord)]]*10, Table2141418516172092121[[#This Row],[Recharging &amp; 
Socializing]]*10)</f>
        <v>10</v>
      </c>
      <c r="V10" s="2" t="s">
        <v>24</v>
      </c>
      <c r="W10" s="2">
        <v>0</v>
      </c>
      <c r="X10" s="2">
        <v>0</v>
      </c>
      <c r="Y10" s="2">
        <v>0</v>
      </c>
      <c r="Z10" s="2">
        <v>0</v>
      </c>
      <c r="AA10" s="2">
        <v>0</v>
      </c>
      <c r="AB10" s="2">
        <v>0</v>
      </c>
      <c r="AC10" s="2">
        <v>1</v>
      </c>
      <c r="AD10" s="2">
        <v>0</v>
      </c>
      <c r="AE10" s="2">
        <v>0</v>
      </c>
      <c r="AF10" s="2">
        <v>1</v>
      </c>
      <c r="AG10" s="2">
        <v>3</v>
      </c>
      <c r="AH10" s="18" cm="1">
        <f t="array" ref="AH10">SUM(Table26131221978101123[[#This Row],[CNS]:[RBS]]*15, Table26131221978101123[[#This Row],[Work &amp; Reading]]*10,Table26131221978101123[[#This Row],[Gym]]*10,Table26131221978101123[[#This Row],[45 min Cardio]]*10,Table26131221978101123[[#This Row],[Cut &amp; Hydration]]*15,Table26131221978101123[[#This Row],[Negida Academy]]*10, Table26131221978101123[[#This Row],[P]]*10, Table26131221978101123[[#This Row],[RT]]*10, Table26131221978101123[[#This Row],[quit scrolling]]*10)</f>
        <v>55</v>
      </c>
    </row>
    <row r="11" spans="1:34" ht="30" customHeight="1">
      <c r="A11" s="2" t="s">
        <v>25</v>
      </c>
      <c r="B11" s="3">
        <f t="shared" ref="B11:O11" si="0">SUM(B4:B10)</f>
        <v>0</v>
      </c>
      <c r="C11" s="3">
        <f t="shared" si="0"/>
        <v>0</v>
      </c>
      <c r="D11" s="3">
        <f t="shared" si="0"/>
        <v>0</v>
      </c>
      <c r="E11" s="3">
        <f t="shared" si="0"/>
        <v>0</v>
      </c>
      <c r="F11" s="3">
        <f t="shared" si="0"/>
        <v>0.5</v>
      </c>
      <c r="G11" s="3">
        <f t="shared" si="0"/>
        <v>1</v>
      </c>
      <c r="H11" s="3">
        <f t="shared" si="0"/>
        <v>7</v>
      </c>
      <c r="I11" s="3">
        <f t="shared" si="0"/>
        <v>1</v>
      </c>
      <c r="J11" s="3">
        <f t="shared" si="0"/>
        <v>3</v>
      </c>
      <c r="K11" s="3">
        <f t="shared" si="0"/>
        <v>2</v>
      </c>
      <c r="L11" s="3">
        <f t="shared" si="0"/>
        <v>6</v>
      </c>
      <c r="M11" s="3">
        <f t="shared" si="0"/>
        <v>1.5</v>
      </c>
      <c r="N11" s="3">
        <f t="shared" si="0"/>
        <v>4</v>
      </c>
      <c r="O11" s="3">
        <f t="shared" si="0"/>
        <v>9.5</v>
      </c>
      <c r="P11" s="18">
        <f>ROUND(SUM(P4:P10)/7, 0)</f>
        <v>60</v>
      </c>
      <c r="V11" s="2" t="s">
        <v>25</v>
      </c>
      <c r="W11" s="2">
        <v>0</v>
      </c>
      <c r="X11" s="3">
        <f t="shared" ref="X11" si="1">SUM(X4:X10)</f>
        <v>0</v>
      </c>
      <c r="Y11" s="3">
        <f>SUM(Y4:Y10)</f>
        <v>0</v>
      </c>
      <c r="Z11" s="3">
        <f>SUM(Z4:Z10)</f>
        <v>0</v>
      </c>
      <c r="AA11" s="3">
        <v>0</v>
      </c>
      <c r="AB11" s="3">
        <f>SUM(AB4:AB10)</f>
        <v>5</v>
      </c>
      <c r="AC11" s="3">
        <f>SUM(AC4:AC10)</f>
        <v>6.5</v>
      </c>
      <c r="AD11" s="2">
        <v>0</v>
      </c>
      <c r="AE11" s="3">
        <f>SUM(AE4:AE10)</f>
        <v>0</v>
      </c>
      <c r="AF11" s="2">
        <v>0</v>
      </c>
      <c r="AG11" s="2">
        <v>0</v>
      </c>
      <c r="AH11" s="18">
        <f>ROUND(SUM(AH4:AH10)/7,0)</f>
        <v>68</v>
      </c>
    </row>
    <row r="12" spans="1:34" ht="24.95" customHeight="1">
      <c r="A12" s="20" t="s">
        <v>90</v>
      </c>
      <c r="B12" s="20"/>
      <c r="C12" s="20"/>
      <c r="D12" s="20"/>
      <c r="E12" s="20"/>
      <c r="F12" s="20"/>
      <c r="G12" s="20"/>
      <c r="H12" s="20"/>
      <c r="I12" s="20"/>
      <c r="J12" s="20"/>
      <c r="K12" s="20"/>
      <c r="L12" s="20"/>
      <c r="M12" s="20"/>
      <c r="N12" s="20"/>
      <c r="O12" s="20"/>
      <c r="P12" s="20"/>
    </row>
    <row r="13" spans="1:34" ht="24.95" customHeight="1">
      <c r="A13" s="20"/>
      <c r="B13" s="20"/>
      <c r="C13" s="20"/>
      <c r="D13" s="20"/>
      <c r="E13" s="20"/>
      <c r="F13" s="20"/>
      <c r="G13" s="20"/>
      <c r="H13" s="20"/>
      <c r="I13" s="20"/>
      <c r="J13" s="20"/>
      <c r="K13" s="20"/>
      <c r="L13" s="20"/>
      <c r="M13" s="20"/>
      <c r="N13" s="20"/>
      <c r="O13" s="20"/>
      <c r="P13" s="20"/>
    </row>
    <row r="14" spans="1:34" ht="24.95" customHeight="1">
      <c r="A14" s="20"/>
      <c r="B14" s="20"/>
      <c r="C14" s="20"/>
      <c r="D14" s="20"/>
      <c r="E14" s="20"/>
      <c r="F14" s="20"/>
      <c r="G14" s="20"/>
      <c r="H14" s="20"/>
      <c r="I14" s="20"/>
      <c r="J14" s="20"/>
      <c r="K14" s="20"/>
      <c r="L14" s="20"/>
      <c r="M14" s="20"/>
      <c r="N14" s="20"/>
      <c r="O14" s="20"/>
      <c r="P14" s="20"/>
    </row>
    <row r="15" spans="1:34" ht="24.95" customHeight="1">
      <c r="A15" s="20"/>
      <c r="B15" s="20"/>
      <c r="C15" s="20"/>
      <c r="D15" s="20"/>
      <c r="E15" s="20"/>
      <c r="F15" s="20"/>
      <c r="G15" s="20"/>
      <c r="H15" s="20"/>
      <c r="I15" s="20"/>
      <c r="J15" s="20"/>
      <c r="K15" s="20"/>
      <c r="L15" s="20"/>
      <c r="M15" s="20"/>
      <c r="N15" s="20"/>
      <c r="O15" s="20"/>
      <c r="P15" s="20"/>
    </row>
    <row r="16" spans="1:34" ht="24.95" customHeight="1">
      <c r="A16" s="20"/>
      <c r="B16" s="20"/>
      <c r="C16" s="20"/>
      <c r="D16" s="20"/>
      <c r="E16" s="20"/>
      <c r="F16" s="20"/>
      <c r="G16" s="20"/>
      <c r="H16" s="20"/>
      <c r="I16" s="20"/>
      <c r="J16" s="20"/>
      <c r="K16" s="20"/>
      <c r="L16" s="20"/>
      <c r="M16" s="20"/>
      <c r="N16" s="20"/>
      <c r="O16" s="20"/>
      <c r="P16" s="20"/>
    </row>
    <row r="17" spans="1:16" ht="24.95" customHeight="1">
      <c r="A17" s="20"/>
      <c r="B17" s="20"/>
      <c r="C17" s="20"/>
      <c r="D17" s="20"/>
      <c r="E17" s="20"/>
      <c r="F17" s="20"/>
      <c r="G17" s="20"/>
      <c r="H17" s="20"/>
      <c r="I17" s="20"/>
      <c r="J17" s="20"/>
      <c r="K17" s="20"/>
      <c r="L17" s="20"/>
      <c r="M17" s="20"/>
      <c r="N17" s="20"/>
      <c r="O17" s="20"/>
      <c r="P17" s="20"/>
    </row>
    <row r="18" spans="1:16" ht="214.5" customHeight="1">
      <c r="A18" s="20"/>
      <c r="B18" s="20"/>
      <c r="C18" s="20"/>
      <c r="D18" s="20"/>
      <c r="E18" s="20"/>
      <c r="F18" s="20"/>
      <c r="G18" s="20"/>
      <c r="H18" s="20"/>
      <c r="I18" s="20"/>
      <c r="J18" s="20"/>
      <c r="K18" s="20"/>
      <c r="L18" s="20"/>
      <c r="M18" s="20"/>
      <c r="N18" s="20"/>
      <c r="O18" s="20"/>
      <c r="P18" s="20"/>
    </row>
    <row r="19" spans="1:16" ht="24.95" customHeight="1">
      <c r="A19" s="20" t="s">
        <v>91</v>
      </c>
      <c r="B19" s="20"/>
      <c r="C19" s="20"/>
      <c r="D19" s="20"/>
      <c r="E19" s="20"/>
      <c r="F19" s="20"/>
      <c r="G19" s="20"/>
      <c r="H19" s="20"/>
      <c r="I19" s="20"/>
      <c r="J19" s="20"/>
      <c r="K19" s="20"/>
      <c r="L19" s="20"/>
      <c r="M19" s="20"/>
      <c r="N19" s="20"/>
      <c r="O19" s="20"/>
      <c r="P19" s="20"/>
    </row>
    <row r="20" spans="1:16" ht="24.95" customHeight="1">
      <c r="A20" s="20"/>
      <c r="B20" s="20"/>
      <c r="C20" s="20"/>
      <c r="D20" s="20"/>
      <c r="E20" s="20"/>
      <c r="F20" s="20"/>
      <c r="G20" s="20"/>
      <c r="H20" s="20"/>
      <c r="I20" s="20"/>
      <c r="J20" s="20"/>
      <c r="K20" s="20"/>
      <c r="L20" s="20"/>
      <c r="M20" s="20"/>
      <c r="N20" s="20"/>
      <c r="O20" s="20"/>
      <c r="P20" s="20"/>
    </row>
    <row r="21" spans="1:16" ht="24.95" customHeight="1">
      <c r="A21" s="20"/>
      <c r="B21" s="20"/>
      <c r="C21" s="20"/>
      <c r="D21" s="20"/>
      <c r="E21" s="20"/>
      <c r="F21" s="20"/>
      <c r="G21" s="20"/>
      <c r="H21" s="20"/>
      <c r="I21" s="20"/>
      <c r="J21" s="20"/>
      <c r="K21" s="20"/>
      <c r="L21" s="20"/>
      <c r="M21" s="20"/>
      <c r="N21" s="20"/>
      <c r="O21" s="20"/>
      <c r="P21" s="20"/>
    </row>
    <row r="22" spans="1:16" ht="24.95" customHeight="1">
      <c r="A22" s="20"/>
      <c r="B22" s="20"/>
      <c r="C22" s="20"/>
      <c r="D22" s="20"/>
      <c r="E22" s="20"/>
      <c r="F22" s="20"/>
      <c r="G22" s="20"/>
      <c r="H22" s="20"/>
      <c r="I22" s="20"/>
      <c r="J22" s="20"/>
      <c r="K22" s="20"/>
      <c r="L22" s="20"/>
      <c r="M22" s="20"/>
      <c r="N22" s="20"/>
      <c r="O22" s="20"/>
      <c r="P22" s="20"/>
    </row>
    <row r="23" spans="1:16" ht="24.95" customHeight="1">
      <c r="A23" s="20"/>
      <c r="B23" s="20"/>
      <c r="C23" s="20"/>
      <c r="D23" s="20"/>
      <c r="E23" s="20"/>
      <c r="F23" s="20"/>
      <c r="G23" s="20"/>
      <c r="H23" s="20"/>
      <c r="I23" s="20"/>
      <c r="J23" s="20"/>
      <c r="K23" s="20"/>
      <c r="L23" s="20"/>
      <c r="M23" s="20"/>
      <c r="N23" s="20"/>
      <c r="O23" s="20"/>
      <c r="P23" s="20"/>
    </row>
    <row r="24" spans="1:16" ht="24.95" customHeight="1">
      <c r="A24" s="20"/>
      <c r="B24" s="20"/>
      <c r="C24" s="20"/>
      <c r="D24" s="20"/>
      <c r="E24" s="20"/>
      <c r="F24" s="20"/>
      <c r="G24" s="20"/>
      <c r="H24" s="20"/>
      <c r="I24" s="20"/>
      <c r="J24" s="20"/>
      <c r="K24" s="20"/>
      <c r="L24" s="20"/>
      <c r="M24" s="20"/>
      <c r="N24" s="20"/>
      <c r="O24" s="20"/>
      <c r="P24" s="20"/>
    </row>
    <row r="25" spans="1:16" ht="51.75" customHeight="1">
      <c r="A25" s="20"/>
      <c r="B25" s="20"/>
      <c r="C25" s="20"/>
      <c r="D25" s="20"/>
      <c r="E25" s="20"/>
      <c r="F25" s="20"/>
      <c r="G25" s="20"/>
      <c r="H25" s="20"/>
      <c r="I25" s="20"/>
      <c r="J25" s="20"/>
      <c r="K25" s="20"/>
      <c r="L25" s="20"/>
      <c r="M25" s="20"/>
      <c r="N25" s="20"/>
      <c r="O25" s="20"/>
      <c r="P25" s="20"/>
    </row>
  </sheetData>
  <mergeCells count="4">
    <mergeCell ref="A1:A2"/>
    <mergeCell ref="A12:P18"/>
    <mergeCell ref="A19:P25"/>
    <mergeCell ref="V1:V2"/>
  </mergeCells>
  <conditionalFormatting sqref="B11:O11">
    <cfRule type="colorScale" priority="13">
      <colorScale>
        <cfvo type="num" val="0"/>
        <cfvo type="percentile" val="50"/>
        <cfvo type="num" val="15"/>
        <color theme="7" tint="0.79998168889431442"/>
        <color theme="9" tint="0.59999389629810485"/>
        <color theme="9"/>
      </colorScale>
    </cfRule>
  </conditionalFormatting>
  <conditionalFormatting sqref="I5:I10 B5:B10 B11:O11">
    <cfRule type="colorScale" priority="15">
      <colorScale>
        <cfvo type="num" val="0"/>
        <cfvo type="percentile" val="50"/>
        <cfvo type="num" val="100"/>
        <color theme="7" tint="0.79998168889431442"/>
        <color theme="9" tint="0.39997558519241921"/>
        <color theme="9" tint="-0.499984740745262"/>
      </colorScale>
    </cfRule>
  </conditionalFormatting>
  <conditionalFormatting sqref="I5:I10 B5:B10">
    <cfRule type="colorScale" priority="14">
      <colorScale>
        <cfvo type="num" val="0"/>
        <cfvo type="percentile" val="50"/>
        <cfvo type="num" val="4"/>
        <color theme="7" tint="0.79998168889431442"/>
        <color theme="9" tint="0.39997558519241921"/>
        <color theme="9" tint="-0.249977111117893"/>
      </colorScale>
    </cfRule>
  </conditionalFormatting>
  <conditionalFormatting sqref="J5:O10 B4:O4 C5:H10">
    <cfRule type="colorScale" priority="9">
      <colorScale>
        <cfvo type="num" val="0"/>
        <cfvo type="percentile" val="50"/>
        <cfvo type="num" val="4"/>
        <color theme="7" tint="0.79998168889431442"/>
        <color theme="9" tint="0.39997558519241921"/>
        <color theme="9" tint="-0.249977111117893"/>
      </colorScale>
    </cfRule>
    <cfRule type="colorScale" priority="10">
      <colorScale>
        <cfvo type="num" val="0"/>
        <cfvo type="percentile" val="50"/>
        <cfvo type="num" val="100"/>
        <color theme="7" tint="0.79998168889431442"/>
        <color theme="9" tint="0.39997558519241921"/>
        <color theme="9" tint="-0.499984740745262"/>
      </colorScale>
    </cfRule>
  </conditionalFormatting>
  <conditionalFormatting sqref="P4:P11">
    <cfRule type="colorScale" priority="11">
      <colorScale>
        <cfvo type="num" val="0"/>
        <cfvo type="percentile" val="50"/>
        <cfvo type="num" val="100"/>
        <color theme="7" tint="0.79998168889431442"/>
        <color theme="9" tint="0.79998168889431442"/>
        <color theme="9"/>
      </colorScale>
    </cfRule>
    <cfRule type="colorScale" priority="12">
      <colorScale>
        <cfvo type="num" val="0"/>
        <cfvo type="num" val="100"/>
        <color theme="7" tint="0.79998168889431442"/>
        <color theme="9" tint="-0.249977111117893"/>
      </colorScale>
    </cfRule>
  </conditionalFormatting>
  <conditionalFormatting sqref="AE4:AE10 W11 AF4:AF11 W5:AD5 AD4:AD11 W4:AC10">
    <cfRule type="colorScale" priority="4">
      <colorScale>
        <cfvo type="num" val="0"/>
        <cfvo type="percentile" val="50"/>
        <cfvo type="num" val="4"/>
        <color theme="7" tint="0.79998168889431442"/>
        <color theme="9" tint="0.39997558519241921"/>
        <color theme="9" tint="-0.249977111117893"/>
      </colorScale>
    </cfRule>
  </conditionalFormatting>
  <conditionalFormatting sqref="W4:AF11">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W11:AF11 AB4:AB10">
    <cfRule type="colorScale" priority="3">
      <colorScale>
        <cfvo type="num" val="0"/>
        <cfvo type="percentile" val="50"/>
        <cfvo type="num" val="15"/>
        <color theme="7" tint="0.79998168889431442"/>
        <color theme="9" tint="0.59999389629810485"/>
        <color theme="9"/>
      </colorScale>
    </cfRule>
  </conditionalFormatting>
  <conditionalFormatting sqref="AG4:AG11">
    <cfRule type="colorScale" priority="7">
      <colorScale>
        <cfvo type="num" val="0"/>
        <cfvo type="percentile" val="50"/>
        <cfvo type="num" val="4"/>
        <color theme="7" tint="0.79998168889431442"/>
        <color theme="9" tint="0.39997558519241921"/>
        <color theme="9" tint="-0.249977111117893"/>
      </colorScale>
    </cfRule>
    <cfRule type="colorScale" priority="8">
      <colorScale>
        <cfvo type="num" val="0"/>
        <cfvo type="percentile" val="50"/>
        <cfvo type="num" val="100"/>
        <color theme="7" tint="0.79998168889431442"/>
        <color theme="9" tint="0.39997558519241921"/>
        <color theme="9" tint="-0.499984740745262"/>
      </colorScale>
    </cfRule>
  </conditionalFormatting>
  <conditionalFormatting sqref="AG11">
    <cfRule type="colorScale" priority="6">
      <colorScale>
        <cfvo type="num" val="0"/>
        <cfvo type="percentile" val="50"/>
        <cfvo type="num" val="15"/>
        <color theme="7" tint="0.79998168889431442"/>
        <color theme="9" tint="0.59999389629810485"/>
        <color theme="9"/>
      </colorScale>
    </cfRule>
  </conditionalFormatting>
  <conditionalFormatting sqref="AH4:AH11">
    <cfRule type="colorScale" priority="1">
      <colorScale>
        <cfvo type="num" val="0"/>
        <cfvo type="percentile" val="50"/>
        <cfvo type="num" val="100"/>
        <color theme="7" tint="0.79998168889431442"/>
        <color theme="9" tint="0.79998168889431442"/>
        <color theme="9"/>
      </colorScale>
    </cfRule>
    <cfRule type="colorScale" priority="2">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CE11-6D2C-4D90-81C5-B36FF0D060AB}">
  <dimension ref="A1:AG25"/>
  <sheetViews>
    <sheetView topLeftCell="V1" zoomScale="89" workbookViewId="0">
      <selection activeCell="U1" sqref="U1"/>
    </sheetView>
  </sheetViews>
  <sheetFormatPr defaultRowHeight="15"/>
  <cols>
    <col min="1" max="16" width="20.7109375" customWidth="1"/>
    <col min="21" max="33" width="20.7109375" customWidth="1"/>
  </cols>
  <sheetData>
    <row r="1" spans="1:33" ht="30" customHeight="1">
      <c r="A1" s="19" t="s">
        <v>0</v>
      </c>
      <c r="B1" s="12"/>
      <c r="C1" s="12"/>
      <c r="D1" s="12"/>
      <c r="E1" s="12"/>
      <c r="F1" s="12"/>
      <c r="G1" s="12"/>
      <c r="H1" s="12"/>
      <c r="I1" s="12"/>
      <c r="J1" s="12"/>
      <c r="K1" s="12"/>
      <c r="L1" s="12"/>
      <c r="M1" s="12"/>
      <c r="N1" s="12"/>
      <c r="O1" s="12"/>
      <c r="P1" s="12"/>
      <c r="U1" s="19" t="s">
        <v>1</v>
      </c>
      <c r="V1" s="17"/>
      <c r="W1" s="17"/>
      <c r="X1" s="17"/>
      <c r="Y1" s="17"/>
      <c r="Z1" s="17"/>
      <c r="AA1" s="17"/>
      <c r="AB1" s="17"/>
    </row>
    <row r="2" spans="1:33" ht="30" customHeight="1">
      <c r="A2" s="19"/>
      <c r="B2" s="12"/>
      <c r="C2" s="12"/>
      <c r="D2" s="12"/>
      <c r="E2" s="12"/>
      <c r="F2" s="12"/>
      <c r="G2" s="12"/>
      <c r="H2" s="12"/>
      <c r="I2" s="12"/>
      <c r="J2" s="12"/>
      <c r="K2" s="12"/>
      <c r="L2" s="12"/>
      <c r="M2" s="12"/>
      <c r="N2" s="12"/>
      <c r="O2" s="12"/>
      <c r="P2" s="12"/>
      <c r="U2" s="19"/>
      <c r="V2" s="17"/>
      <c r="W2" s="17"/>
      <c r="X2" s="17"/>
      <c r="Y2" s="17"/>
      <c r="Z2" s="17"/>
      <c r="AA2" s="17"/>
      <c r="AB2" s="17"/>
    </row>
    <row r="3" spans="1:33" ht="30" customHeight="1">
      <c r="A3" s="1" t="s">
        <v>2</v>
      </c>
      <c r="B3" s="10" t="s">
        <v>66</v>
      </c>
      <c r="C3" s="10" t="s">
        <v>67</v>
      </c>
      <c r="D3" s="10" t="s">
        <v>48</v>
      </c>
      <c r="E3" s="10" t="s">
        <v>79</v>
      </c>
      <c r="F3" s="10" t="s">
        <v>80</v>
      </c>
      <c r="G3" s="10" t="s">
        <v>81</v>
      </c>
      <c r="H3" s="10" t="s">
        <v>87</v>
      </c>
      <c r="I3" s="10" t="s">
        <v>82</v>
      </c>
      <c r="J3" s="1" t="s">
        <v>30</v>
      </c>
      <c r="K3" s="1" t="s">
        <v>9</v>
      </c>
      <c r="L3" s="10" t="s">
        <v>88</v>
      </c>
      <c r="M3" s="10" t="s">
        <v>31</v>
      </c>
      <c r="N3" s="1" t="s">
        <v>10</v>
      </c>
      <c r="O3" s="10" t="s">
        <v>89</v>
      </c>
      <c r="P3" s="1" t="s">
        <v>11</v>
      </c>
      <c r="U3" s="1" t="s">
        <v>61</v>
      </c>
      <c r="V3" s="1" t="s">
        <v>74</v>
      </c>
      <c r="W3" s="1" t="s">
        <v>75</v>
      </c>
      <c r="X3" s="1" t="s">
        <v>14</v>
      </c>
      <c r="Y3" s="1" t="s">
        <v>55</v>
      </c>
      <c r="Z3" s="1" t="s">
        <v>49</v>
      </c>
      <c r="AA3" s="1" t="s">
        <v>16</v>
      </c>
      <c r="AB3" s="1" t="s">
        <v>56</v>
      </c>
      <c r="AC3" s="1" t="s">
        <v>62</v>
      </c>
      <c r="AD3" s="1" t="s">
        <v>70</v>
      </c>
      <c r="AE3" s="1" t="s">
        <v>10</v>
      </c>
      <c r="AF3" s="1" t="s">
        <v>76</v>
      </c>
      <c r="AG3" s="1" t="s">
        <v>11</v>
      </c>
    </row>
    <row r="4" spans="1:33" ht="30" customHeight="1">
      <c r="A4" s="2" t="s">
        <v>18</v>
      </c>
      <c r="B4" s="2">
        <v>0</v>
      </c>
      <c r="C4" s="2">
        <v>0</v>
      </c>
      <c r="D4" s="2">
        <v>0</v>
      </c>
      <c r="E4" s="2">
        <v>0</v>
      </c>
      <c r="F4" s="2">
        <v>0.5</v>
      </c>
      <c r="G4" s="2">
        <v>0</v>
      </c>
      <c r="H4" s="2">
        <v>0</v>
      </c>
      <c r="I4" s="2">
        <v>0</v>
      </c>
      <c r="J4" s="2">
        <v>0</v>
      </c>
      <c r="K4" s="2">
        <v>1</v>
      </c>
      <c r="L4" s="2">
        <v>1</v>
      </c>
      <c r="M4" s="2">
        <v>0</v>
      </c>
      <c r="N4" s="2">
        <v>1</v>
      </c>
      <c r="O4" s="2">
        <v>3</v>
      </c>
      <c r="P4" s="18" cm="1">
        <f t="array" ref="P4">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77.5</v>
      </c>
      <c r="U4" s="2" t="s">
        <v>18</v>
      </c>
      <c r="V4" s="2">
        <v>0</v>
      </c>
      <c r="W4" s="2">
        <v>0</v>
      </c>
      <c r="X4" s="2">
        <v>0</v>
      </c>
      <c r="Y4" s="2">
        <v>0</v>
      </c>
      <c r="Z4" s="2">
        <v>0</v>
      </c>
      <c r="AA4" s="11">
        <v>1</v>
      </c>
      <c r="AB4" s="2">
        <v>1</v>
      </c>
      <c r="AC4" s="16">
        <v>0.25</v>
      </c>
      <c r="AD4" s="2">
        <v>0</v>
      </c>
      <c r="AE4" s="11">
        <v>1</v>
      </c>
      <c r="AF4" s="2">
        <v>0</v>
      </c>
      <c r="AG4" s="18" cm="1">
        <f t="array" ref="AG4">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37.5</v>
      </c>
    </row>
    <row r="5" spans="1:33" ht="30" customHeight="1">
      <c r="A5" s="2" t="s">
        <v>19</v>
      </c>
      <c r="B5" s="2">
        <v>0</v>
      </c>
      <c r="C5" s="2">
        <v>0</v>
      </c>
      <c r="D5" s="2">
        <v>0</v>
      </c>
      <c r="E5" s="2">
        <v>0</v>
      </c>
      <c r="F5" s="2">
        <v>0</v>
      </c>
      <c r="G5" s="2">
        <v>0</v>
      </c>
      <c r="H5" s="2">
        <v>0</v>
      </c>
      <c r="I5" s="2">
        <v>0</v>
      </c>
      <c r="J5" s="2">
        <v>1</v>
      </c>
      <c r="K5" s="2">
        <v>1</v>
      </c>
      <c r="L5" s="2">
        <v>1</v>
      </c>
      <c r="M5" s="2">
        <v>1</v>
      </c>
      <c r="N5" s="2">
        <v>0</v>
      </c>
      <c r="O5" s="2">
        <v>3</v>
      </c>
      <c r="P5" s="18" cm="1">
        <f t="array" ref="P5">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85</v>
      </c>
      <c r="U5" s="2" t="s">
        <v>19</v>
      </c>
      <c r="V5" s="2">
        <v>0</v>
      </c>
      <c r="W5" s="2">
        <v>0</v>
      </c>
      <c r="X5" s="2">
        <v>0</v>
      </c>
      <c r="Y5" s="2">
        <v>0</v>
      </c>
      <c r="Z5" s="2">
        <v>0</v>
      </c>
      <c r="AA5" s="11">
        <v>1</v>
      </c>
      <c r="AB5" s="2">
        <v>1</v>
      </c>
      <c r="AC5" s="16">
        <v>0.25</v>
      </c>
      <c r="AD5" s="2">
        <v>0</v>
      </c>
      <c r="AE5" s="11">
        <v>1</v>
      </c>
      <c r="AF5" s="2">
        <v>0</v>
      </c>
      <c r="AG5" s="18" cm="1">
        <f t="array" ref="AG5">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37.5</v>
      </c>
    </row>
    <row r="6" spans="1:33" ht="30" customHeight="1">
      <c r="A6" s="2" t="s">
        <v>20</v>
      </c>
      <c r="B6" s="2">
        <v>0</v>
      </c>
      <c r="C6" s="2">
        <v>0</v>
      </c>
      <c r="D6" s="2">
        <v>0</v>
      </c>
      <c r="E6" s="2">
        <v>0</v>
      </c>
      <c r="F6" s="2">
        <v>0</v>
      </c>
      <c r="G6" s="2">
        <v>1</v>
      </c>
      <c r="H6" s="2">
        <v>0</v>
      </c>
      <c r="I6" s="2">
        <v>0</v>
      </c>
      <c r="J6" s="2">
        <v>1</v>
      </c>
      <c r="K6" s="2">
        <v>0</v>
      </c>
      <c r="L6" s="2">
        <v>1</v>
      </c>
      <c r="M6" s="2">
        <v>0.5</v>
      </c>
      <c r="N6" s="2">
        <v>1</v>
      </c>
      <c r="O6" s="2">
        <v>3</v>
      </c>
      <c r="P6" s="18" cm="1">
        <f t="array" ref="P6">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92.5</v>
      </c>
      <c r="U6" s="2" t="s">
        <v>20</v>
      </c>
      <c r="V6" s="2">
        <v>0</v>
      </c>
      <c r="W6" s="2">
        <v>0</v>
      </c>
      <c r="X6" s="2">
        <v>0</v>
      </c>
      <c r="Y6" s="2">
        <v>0</v>
      </c>
      <c r="Z6" s="2">
        <v>0</v>
      </c>
      <c r="AA6" s="2">
        <v>0</v>
      </c>
      <c r="AB6" s="2">
        <v>1</v>
      </c>
      <c r="AC6" s="16">
        <v>0.25</v>
      </c>
      <c r="AD6" s="2">
        <v>0</v>
      </c>
      <c r="AE6" s="11">
        <v>1</v>
      </c>
      <c r="AF6" s="11">
        <v>1</v>
      </c>
      <c r="AG6" s="18" cm="1">
        <f t="array" ref="AG6">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37.5</v>
      </c>
    </row>
    <row r="7" spans="1:33" ht="30" customHeight="1">
      <c r="A7" s="2" t="s">
        <v>21</v>
      </c>
      <c r="B7" s="2">
        <v>1</v>
      </c>
      <c r="C7" s="2">
        <v>0</v>
      </c>
      <c r="D7" s="2">
        <v>0</v>
      </c>
      <c r="E7" s="2">
        <v>0</v>
      </c>
      <c r="F7" s="2">
        <v>0</v>
      </c>
      <c r="G7" s="2">
        <v>0</v>
      </c>
      <c r="H7" s="2">
        <v>3</v>
      </c>
      <c r="I7" s="2">
        <v>1</v>
      </c>
      <c r="J7" s="2">
        <v>0</v>
      </c>
      <c r="K7" s="2">
        <v>0</v>
      </c>
      <c r="L7" s="2">
        <v>1</v>
      </c>
      <c r="M7" s="2">
        <v>0.5</v>
      </c>
      <c r="N7" s="2">
        <v>1</v>
      </c>
      <c r="O7" s="2">
        <v>0</v>
      </c>
      <c r="P7" s="18" cm="1">
        <f t="array" ref="P7">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87.5</v>
      </c>
      <c r="U7" s="2" t="s">
        <v>21</v>
      </c>
      <c r="V7" s="2">
        <v>0</v>
      </c>
      <c r="W7" s="2">
        <v>0</v>
      </c>
      <c r="X7" s="2">
        <v>0</v>
      </c>
      <c r="Y7" s="2">
        <v>0</v>
      </c>
      <c r="Z7" s="2">
        <v>2</v>
      </c>
      <c r="AA7" s="11">
        <v>1</v>
      </c>
      <c r="AB7" s="11">
        <v>1</v>
      </c>
      <c r="AC7" s="11">
        <v>1</v>
      </c>
      <c r="AD7" s="2">
        <v>0</v>
      </c>
      <c r="AE7" s="11">
        <v>1</v>
      </c>
      <c r="AF7" s="2">
        <v>0</v>
      </c>
      <c r="AG7" s="18" cm="1">
        <f t="array" ref="AG7">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65</v>
      </c>
    </row>
    <row r="8" spans="1:33" ht="30" customHeight="1">
      <c r="A8" s="2" t="s">
        <v>22</v>
      </c>
      <c r="B8" s="2">
        <v>2</v>
      </c>
      <c r="C8" s="2">
        <v>0</v>
      </c>
      <c r="D8" s="2">
        <v>0</v>
      </c>
      <c r="E8" s="2">
        <v>0</v>
      </c>
      <c r="F8" s="2">
        <v>0</v>
      </c>
      <c r="G8" s="2">
        <v>1</v>
      </c>
      <c r="H8" s="2">
        <v>0</v>
      </c>
      <c r="I8" s="2">
        <v>0.5</v>
      </c>
      <c r="J8" s="2">
        <v>0</v>
      </c>
      <c r="K8" s="2">
        <v>1</v>
      </c>
      <c r="L8" s="2">
        <v>1</v>
      </c>
      <c r="M8" s="2">
        <v>0.5</v>
      </c>
      <c r="N8" s="2">
        <v>1</v>
      </c>
      <c r="O8" s="2">
        <v>1</v>
      </c>
      <c r="P8" s="18" cm="1">
        <f t="array" ref="P8">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100</v>
      </c>
      <c r="U8" s="2" t="s">
        <v>22</v>
      </c>
      <c r="V8" s="2">
        <v>0</v>
      </c>
      <c r="W8" s="2">
        <v>0</v>
      </c>
      <c r="X8" s="2">
        <v>0</v>
      </c>
      <c r="Y8" s="2">
        <v>0</v>
      </c>
      <c r="Z8" s="2">
        <v>0</v>
      </c>
      <c r="AA8" s="2">
        <v>1</v>
      </c>
      <c r="AB8" s="2">
        <v>0.5</v>
      </c>
      <c r="AC8" s="2">
        <v>0.5</v>
      </c>
      <c r="AD8" s="2">
        <v>0</v>
      </c>
      <c r="AE8" s="2">
        <v>1</v>
      </c>
      <c r="AF8" s="2">
        <v>0</v>
      </c>
      <c r="AG8" s="18" cm="1">
        <f t="array" ref="AG8">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32.5</v>
      </c>
    </row>
    <row r="9" spans="1:33" ht="30" customHeight="1">
      <c r="A9" s="2" t="s">
        <v>23</v>
      </c>
      <c r="B9" s="2">
        <v>3</v>
      </c>
      <c r="C9" s="2">
        <v>0</v>
      </c>
      <c r="D9" s="2">
        <v>0</v>
      </c>
      <c r="E9" s="2">
        <v>0</v>
      </c>
      <c r="F9" s="2">
        <v>0.5</v>
      </c>
      <c r="G9" s="2">
        <v>0</v>
      </c>
      <c r="H9" s="2">
        <v>0</v>
      </c>
      <c r="I9" s="2">
        <v>0</v>
      </c>
      <c r="J9" s="2">
        <v>1</v>
      </c>
      <c r="K9" s="2">
        <v>0</v>
      </c>
      <c r="L9" s="2">
        <v>1</v>
      </c>
      <c r="M9" s="2">
        <v>0</v>
      </c>
      <c r="N9" s="2">
        <v>1</v>
      </c>
      <c r="O9" s="2">
        <v>0</v>
      </c>
      <c r="P9" s="18" cm="1">
        <f t="array" ref="P9">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77.5</v>
      </c>
      <c r="U9" s="2" t="s">
        <v>23</v>
      </c>
      <c r="V9" s="2">
        <v>0</v>
      </c>
      <c r="W9" s="2">
        <v>0</v>
      </c>
      <c r="X9" s="2">
        <v>0</v>
      </c>
      <c r="Y9" s="2">
        <v>0</v>
      </c>
      <c r="Z9" s="2">
        <v>0</v>
      </c>
      <c r="AA9" s="2">
        <v>0</v>
      </c>
      <c r="AB9" s="2">
        <v>0</v>
      </c>
      <c r="AC9" s="2">
        <v>0</v>
      </c>
      <c r="AD9" s="2">
        <v>0</v>
      </c>
      <c r="AE9" s="2">
        <v>1</v>
      </c>
      <c r="AF9" s="2">
        <v>2</v>
      </c>
      <c r="AG9" s="18" cm="1">
        <f t="array" ref="AG9">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30</v>
      </c>
    </row>
    <row r="10" spans="1:33" ht="30" customHeight="1">
      <c r="A10" s="2" t="s">
        <v>24</v>
      </c>
      <c r="B10" s="2">
        <v>4</v>
      </c>
      <c r="C10" s="2">
        <v>0</v>
      </c>
      <c r="D10" s="2">
        <v>0</v>
      </c>
      <c r="E10" s="2">
        <v>0</v>
      </c>
      <c r="F10" s="2">
        <v>0</v>
      </c>
      <c r="G10" s="2">
        <v>0</v>
      </c>
      <c r="H10" s="2">
        <v>0</v>
      </c>
      <c r="I10" s="2">
        <v>0</v>
      </c>
      <c r="J10" s="2">
        <v>0</v>
      </c>
      <c r="K10" s="2">
        <v>0</v>
      </c>
      <c r="L10" s="2">
        <v>1</v>
      </c>
      <c r="M10" s="2">
        <v>0</v>
      </c>
      <c r="N10" s="2">
        <v>1</v>
      </c>
      <c r="O10" s="2">
        <v>0</v>
      </c>
      <c r="P10" s="18" cm="1">
        <f t="array" ref="P10">SUM(Table214141851617209212124[[#This Row],[LabCast Studying]]*15,Table214141851617209212124[[#This Row],[Admin Tasks (indiv)]]*10,Table214141851617209212124[[#This Row],[LabCast]]*10, Table214141851617209212124[[#This Row],[Wake up at 10:30
sleep at 2]]*15,Table214141851617209212124[[#This Row],[Leetcode design
Leetcode algorithm]]*15,Table214141851617209212124[[#This Row],[HairFlow Research]]*10,Table214141851617209212124[[#This Row],[CS131]:[History 1C]]*15,Table214141851617209212124[[#This Row],[P]]*15, Table214141851617209212124[[#This Row],[gym ]]*15, Table214141851617209212124[[#This Row],[Squash]]*15, Table214141851617209212124[[#This Row],[PWR2]]*15, Table214141851617209212124[[#This Row],[Screentime &lt; 2 hr
(excl whats, discord)]]*10, Table214141851617209212124[[#This Row],[Recharging &amp; 
Socializing]]*10)</f>
        <v>65</v>
      </c>
      <c r="U10" s="2" t="s">
        <v>24</v>
      </c>
      <c r="V10" s="2">
        <v>0</v>
      </c>
      <c r="W10" s="2">
        <v>0</v>
      </c>
      <c r="X10" s="2">
        <v>0</v>
      </c>
      <c r="Y10" s="2">
        <v>0</v>
      </c>
      <c r="Z10" s="2">
        <v>0</v>
      </c>
      <c r="AA10" s="2">
        <v>1</v>
      </c>
      <c r="AB10" s="2">
        <v>0</v>
      </c>
      <c r="AC10" s="2">
        <v>0</v>
      </c>
      <c r="AD10" s="2">
        <v>0</v>
      </c>
      <c r="AE10" s="2">
        <v>1</v>
      </c>
      <c r="AF10" s="2">
        <v>0</v>
      </c>
      <c r="AG10" s="18" cm="1">
        <f t="array" ref="AG10">SUM(Table2613122197810112325[[#This Row],[CNS]:[RBS]]*15, Table2613122197810112325[[#This Row],[Work &amp; Reading]]*10,Table2613122197810112325[[#This Row],[Gym]]*10,Table2613122197810112325[[#This Row],[45 min Cardio]]*10,Table2613122197810112325[[#This Row],[Cut &amp; Hydration]]*15,Table2613122197810112325[[#This Row],[Negida Academy]]*10, Table2613122197810112325[[#This Row],[P]]*10, Table2613122197810112325[[#This Row],[RT]]*10, Table2613122197810112325[[#This Row],[quit scrolling]]*10)</f>
        <v>20</v>
      </c>
    </row>
    <row r="11" spans="1:33" ht="30" customHeight="1">
      <c r="A11" s="2" t="s">
        <v>25</v>
      </c>
      <c r="B11" s="3">
        <f t="shared" ref="B11:O11" si="0">SUM(B4:B10)</f>
        <v>10</v>
      </c>
      <c r="C11" s="3">
        <f t="shared" si="0"/>
        <v>0</v>
      </c>
      <c r="D11" s="3">
        <f t="shared" si="0"/>
        <v>0</v>
      </c>
      <c r="E11" s="3">
        <f t="shared" si="0"/>
        <v>0</v>
      </c>
      <c r="F11" s="3">
        <f t="shared" si="0"/>
        <v>1</v>
      </c>
      <c r="G11" s="3">
        <f t="shared" si="0"/>
        <v>2</v>
      </c>
      <c r="H11" s="3">
        <f t="shared" si="0"/>
        <v>3</v>
      </c>
      <c r="I11" s="3">
        <f t="shared" si="0"/>
        <v>1.5</v>
      </c>
      <c r="J11" s="3">
        <f t="shared" si="0"/>
        <v>3</v>
      </c>
      <c r="K11" s="3">
        <f t="shared" si="0"/>
        <v>3</v>
      </c>
      <c r="L11" s="3">
        <f t="shared" si="0"/>
        <v>7</v>
      </c>
      <c r="M11" s="3">
        <f t="shared" si="0"/>
        <v>2.5</v>
      </c>
      <c r="N11" s="3">
        <f t="shared" si="0"/>
        <v>6</v>
      </c>
      <c r="O11" s="3">
        <f t="shared" si="0"/>
        <v>10</v>
      </c>
      <c r="P11" s="18">
        <f>ROUND(SUM(P4:P10)/7, 0)</f>
        <v>84</v>
      </c>
      <c r="U11" s="2" t="s">
        <v>25</v>
      </c>
      <c r="V11" s="2">
        <v>0</v>
      </c>
      <c r="W11" s="3">
        <f t="shared" ref="W11" si="1">SUM(W4:W10)</f>
        <v>0</v>
      </c>
      <c r="X11" s="3">
        <f>SUM(X4:X10)</f>
        <v>0</v>
      </c>
      <c r="Y11" s="3">
        <f>SUM(Y4:Y10)</f>
        <v>0</v>
      </c>
      <c r="Z11" s="3">
        <v>0</v>
      </c>
      <c r="AA11" s="3">
        <f>SUM(AA4:AA10)</f>
        <v>5</v>
      </c>
      <c r="AB11" s="3">
        <f>SUM(AB4:AB10)</f>
        <v>4.5</v>
      </c>
      <c r="AC11" s="2">
        <v>0</v>
      </c>
      <c r="AD11" s="3">
        <f>SUM(AD4:AD10)</f>
        <v>0</v>
      </c>
      <c r="AE11" s="2">
        <v>0</v>
      </c>
      <c r="AF11" s="2">
        <v>0</v>
      </c>
      <c r="AG11" s="18">
        <f>ROUND(SUM(AG4:AG10)/7,0)</f>
        <v>37</v>
      </c>
    </row>
    <row r="12" spans="1:33" ht="24.95" customHeight="1">
      <c r="A12" s="25" t="s">
        <v>92</v>
      </c>
      <c r="B12" s="20"/>
      <c r="C12" s="20"/>
      <c r="D12" s="20"/>
      <c r="E12" s="20"/>
      <c r="F12" s="20"/>
      <c r="G12" s="20"/>
      <c r="H12" s="20"/>
      <c r="I12" s="20"/>
      <c r="J12" s="20"/>
      <c r="K12" s="20"/>
      <c r="L12" s="20"/>
      <c r="M12" s="20"/>
      <c r="N12" s="20"/>
      <c r="O12" s="20"/>
      <c r="P12" s="20"/>
    </row>
    <row r="13" spans="1:33" ht="24.95" customHeight="1">
      <c r="A13" s="20"/>
      <c r="B13" s="20"/>
      <c r="C13" s="20"/>
      <c r="D13" s="20"/>
      <c r="E13" s="20"/>
      <c r="F13" s="20"/>
      <c r="G13" s="20"/>
      <c r="H13" s="20"/>
      <c r="I13" s="20"/>
      <c r="J13" s="20"/>
      <c r="K13" s="20"/>
      <c r="L13" s="20"/>
      <c r="M13" s="20"/>
      <c r="N13" s="20"/>
      <c r="O13" s="20"/>
      <c r="P13" s="20"/>
    </row>
    <row r="14" spans="1:33" ht="24.95" customHeight="1">
      <c r="A14" s="20"/>
      <c r="B14" s="20"/>
      <c r="C14" s="20"/>
      <c r="D14" s="20"/>
      <c r="E14" s="20"/>
      <c r="F14" s="20"/>
      <c r="G14" s="20"/>
      <c r="H14" s="20"/>
      <c r="I14" s="20"/>
      <c r="J14" s="20"/>
      <c r="K14" s="20"/>
      <c r="L14" s="20"/>
      <c r="M14" s="20"/>
      <c r="N14" s="20"/>
      <c r="O14" s="20"/>
      <c r="P14" s="20"/>
    </row>
    <row r="15" spans="1:33" ht="24.95" customHeight="1">
      <c r="A15" s="20"/>
      <c r="B15" s="20"/>
      <c r="C15" s="20"/>
      <c r="D15" s="20"/>
      <c r="E15" s="20"/>
      <c r="F15" s="20"/>
      <c r="G15" s="20"/>
      <c r="H15" s="20"/>
      <c r="I15" s="20"/>
      <c r="J15" s="20"/>
      <c r="K15" s="20"/>
      <c r="L15" s="20"/>
      <c r="M15" s="20"/>
      <c r="N15" s="20"/>
      <c r="O15" s="20"/>
      <c r="P15" s="20"/>
    </row>
    <row r="16" spans="1:33" ht="24.95" customHeight="1">
      <c r="A16" s="20"/>
      <c r="B16" s="20"/>
      <c r="C16" s="20"/>
      <c r="D16" s="20"/>
      <c r="E16" s="20"/>
      <c r="F16" s="20"/>
      <c r="G16" s="20"/>
      <c r="H16" s="20"/>
      <c r="I16" s="20"/>
      <c r="J16" s="20"/>
      <c r="K16" s="20"/>
      <c r="L16" s="20"/>
      <c r="M16" s="20"/>
      <c r="N16" s="20"/>
      <c r="O16" s="20"/>
      <c r="P16" s="20"/>
    </row>
    <row r="17" spans="1:16" ht="24.95" customHeight="1">
      <c r="A17" s="20"/>
      <c r="B17" s="20"/>
      <c r="C17" s="20"/>
      <c r="D17" s="20"/>
      <c r="E17" s="20"/>
      <c r="F17" s="20"/>
      <c r="G17" s="20"/>
      <c r="H17" s="20"/>
      <c r="I17" s="20"/>
      <c r="J17" s="20"/>
      <c r="K17" s="20"/>
      <c r="L17" s="20"/>
      <c r="M17" s="20"/>
      <c r="N17" s="20"/>
      <c r="O17" s="20"/>
      <c r="P17" s="20"/>
    </row>
    <row r="18" spans="1:16" ht="153" customHeight="1">
      <c r="A18" s="20"/>
      <c r="B18" s="20"/>
      <c r="C18" s="20"/>
      <c r="D18" s="20"/>
      <c r="E18" s="20"/>
      <c r="F18" s="20"/>
      <c r="G18" s="20"/>
      <c r="H18" s="20"/>
      <c r="I18" s="20"/>
      <c r="J18" s="20"/>
      <c r="K18" s="20"/>
      <c r="L18" s="20"/>
      <c r="M18" s="20"/>
      <c r="N18" s="20"/>
      <c r="O18" s="20"/>
      <c r="P18" s="20"/>
    </row>
    <row r="19" spans="1:16" ht="24.95" customHeight="1">
      <c r="A19" s="20" t="s">
        <v>93</v>
      </c>
      <c r="B19" s="20"/>
      <c r="C19" s="20"/>
      <c r="D19" s="20"/>
      <c r="E19" s="20"/>
      <c r="F19" s="20"/>
      <c r="G19" s="20"/>
      <c r="H19" s="20"/>
      <c r="I19" s="20"/>
      <c r="J19" s="20"/>
      <c r="K19" s="20"/>
      <c r="L19" s="20"/>
      <c r="M19" s="20"/>
      <c r="N19" s="20"/>
      <c r="O19" s="20"/>
      <c r="P19" s="20"/>
    </row>
    <row r="20" spans="1:16" ht="24.95" customHeight="1">
      <c r="A20" s="20"/>
      <c r="B20" s="20"/>
      <c r="C20" s="20"/>
      <c r="D20" s="20"/>
      <c r="E20" s="20"/>
      <c r="F20" s="20"/>
      <c r="G20" s="20"/>
      <c r="H20" s="20"/>
      <c r="I20" s="20"/>
      <c r="J20" s="20"/>
      <c r="K20" s="20"/>
      <c r="L20" s="20"/>
      <c r="M20" s="20"/>
      <c r="N20" s="20"/>
      <c r="O20" s="20"/>
      <c r="P20" s="20"/>
    </row>
    <row r="21" spans="1:16" ht="24.95" customHeight="1">
      <c r="A21" s="20"/>
      <c r="B21" s="20"/>
      <c r="C21" s="20"/>
      <c r="D21" s="20"/>
      <c r="E21" s="20"/>
      <c r="F21" s="20"/>
      <c r="G21" s="20"/>
      <c r="H21" s="20"/>
      <c r="I21" s="20"/>
      <c r="J21" s="20"/>
      <c r="K21" s="20"/>
      <c r="L21" s="20"/>
      <c r="M21" s="20"/>
      <c r="N21" s="20"/>
      <c r="O21" s="20"/>
      <c r="P21" s="20"/>
    </row>
    <row r="22" spans="1:16" ht="24.95" customHeight="1">
      <c r="A22" s="20"/>
      <c r="B22" s="20"/>
      <c r="C22" s="20"/>
      <c r="D22" s="20"/>
      <c r="E22" s="20"/>
      <c r="F22" s="20"/>
      <c r="G22" s="20"/>
      <c r="H22" s="20"/>
      <c r="I22" s="20"/>
      <c r="J22" s="20"/>
      <c r="K22" s="20"/>
      <c r="L22" s="20"/>
      <c r="M22" s="20"/>
      <c r="N22" s="20"/>
      <c r="O22" s="20"/>
      <c r="P22" s="20"/>
    </row>
    <row r="23" spans="1:16" ht="24.95" customHeight="1">
      <c r="A23" s="20"/>
      <c r="B23" s="20"/>
      <c r="C23" s="20"/>
      <c r="D23" s="20"/>
      <c r="E23" s="20"/>
      <c r="F23" s="20"/>
      <c r="G23" s="20"/>
      <c r="H23" s="20"/>
      <c r="I23" s="20"/>
      <c r="J23" s="20"/>
      <c r="K23" s="20"/>
      <c r="L23" s="20"/>
      <c r="M23" s="20"/>
      <c r="N23" s="20"/>
      <c r="O23" s="20"/>
      <c r="P23" s="20"/>
    </row>
    <row r="24" spans="1:16" ht="24.95" customHeight="1">
      <c r="A24" s="20"/>
      <c r="B24" s="20"/>
      <c r="C24" s="20"/>
      <c r="D24" s="20"/>
      <c r="E24" s="20"/>
      <c r="F24" s="20"/>
      <c r="G24" s="20"/>
      <c r="H24" s="20"/>
      <c r="I24" s="20"/>
      <c r="J24" s="20"/>
      <c r="K24" s="20"/>
      <c r="L24" s="20"/>
      <c r="M24" s="20"/>
      <c r="N24" s="20"/>
      <c r="O24" s="20"/>
      <c r="P24" s="20"/>
    </row>
    <row r="25" spans="1:16" ht="24.95" customHeight="1">
      <c r="A25" s="20"/>
      <c r="B25" s="20"/>
      <c r="C25" s="20"/>
      <c r="D25" s="20"/>
      <c r="E25" s="20"/>
      <c r="F25" s="20"/>
      <c r="G25" s="20"/>
      <c r="H25" s="20"/>
      <c r="I25" s="20"/>
      <c r="J25" s="20"/>
      <c r="K25" s="20"/>
      <c r="L25" s="20"/>
      <c r="M25" s="20"/>
      <c r="N25" s="20"/>
      <c r="O25" s="20"/>
      <c r="P25" s="20"/>
    </row>
  </sheetData>
  <mergeCells count="4">
    <mergeCell ref="A1:A2"/>
    <mergeCell ref="A12:P18"/>
    <mergeCell ref="A19:P25"/>
    <mergeCell ref="U1:U2"/>
  </mergeCells>
  <conditionalFormatting sqref="B11:O11">
    <cfRule type="colorScale" priority="13">
      <colorScale>
        <cfvo type="num" val="0"/>
        <cfvo type="percentile" val="50"/>
        <cfvo type="num" val="15"/>
        <color theme="7" tint="0.79998168889431442"/>
        <color theme="9" tint="0.59999389629810485"/>
        <color theme="9"/>
      </colorScale>
    </cfRule>
  </conditionalFormatting>
  <conditionalFormatting sqref="I5:I10 B5:B10 B11:O11">
    <cfRule type="colorScale" priority="15">
      <colorScale>
        <cfvo type="num" val="0"/>
        <cfvo type="percentile" val="50"/>
        <cfvo type="num" val="100"/>
        <color theme="7" tint="0.79998168889431442"/>
        <color theme="9" tint="0.39997558519241921"/>
        <color theme="9" tint="-0.499984740745262"/>
      </colorScale>
    </cfRule>
  </conditionalFormatting>
  <conditionalFormatting sqref="I5:I10 B5:B10">
    <cfRule type="colorScale" priority="14">
      <colorScale>
        <cfvo type="num" val="0"/>
        <cfvo type="percentile" val="50"/>
        <cfvo type="num" val="4"/>
        <color theme="7" tint="0.79998168889431442"/>
        <color theme="9" tint="0.39997558519241921"/>
        <color theme="9" tint="-0.249977111117893"/>
      </colorScale>
    </cfRule>
  </conditionalFormatting>
  <conditionalFormatting sqref="J5:O10 B4:O4 C5:H10">
    <cfRule type="colorScale" priority="9">
      <colorScale>
        <cfvo type="num" val="0"/>
        <cfvo type="percentile" val="50"/>
        <cfvo type="num" val="4"/>
        <color theme="7" tint="0.79998168889431442"/>
        <color theme="9" tint="0.39997558519241921"/>
        <color theme="9" tint="-0.249977111117893"/>
      </colorScale>
    </cfRule>
    <cfRule type="colorScale" priority="10">
      <colorScale>
        <cfvo type="num" val="0"/>
        <cfvo type="percentile" val="50"/>
        <cfvo type="num" val="100"/>
        <color theme="7" tint="0.79998168889431442"/>
        <color theme="9" tint="0.39997558519241921"/>
        <color theme="9" tint="-0.499984740745262"/>
      </colorScale>
    </cfRule>
  </conditionalFormatting>
  <conditionalFormatting sqref="P4:P11">
    <cfRule type="colorScale" priority="11">
      <colorScale>
        <cfvo type="num" val="0"/>
        <cfvo type="percentile" val="50"/>
        <cfvo type="num" val="100"/>
        <color theme="7" tint="0.79998168889431442"/>
        <color theme="9" tint="0.79998168889431442"/>
        <color theme="9"/>
      </colorScale>
    </cfRule>
    <cfRule type="colorScale" priority="12">
      <colorScale>
        <cfvo type="num" val="0"/>
        <cfvo type="num" val="100"/>
        <color theme="7" tint="0.79998168889431442"/>
        <color theme="9" tint="-0.249977111117893"/>
      </colorScale>
    </cfRule>
  </conditionalFormatting>
  <conditionalFormatting sqref="V4:AE4 V11 V5:Y5 AE11 AD10:AF10 V6:Z7 AD9:AE9 AC9:AC11 V9:AB10 V8:AF8 AA7:AF7">
    <cfRule type="colorScale" priority="4">
      <colorScale>
        <cfvo type="num" val="0"/>
        <cfvo type="percentile" val="50"/>
        <cfvo type="num" val="4"/>
        <color theme="7" tint="0.79998168889431442"/>
        <color theme="9" tint="0.39997558519241921"/>
        <color theme="9" tint="-0.249977111117893"/>
      </colorScale>
    </cfRule>
  </conditionalFormatting>
  <conditionalFormatting sqref="V4:AE4 V5:Y5 V11:AE11 V10:AF10 V6:Z7 V9:AE9 V8:AF8 AA7:AF7">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V11:AE11 AA4 AA9:AA10">
    <cfRule type="colorScale" priority="3">
      <colorScale>
        <cfvo type="num" val="0"/>
        <cfvo type="percentile" val="50"/>
        <cfvo type="num" val="15"/>
        <color theme="7" tint="0.79998168889431442"/>
        <color theme="9" tint="0.59999389629810485"/>
        <color theme="9"/>
      </colorScale>
    </cfRule>
  </conditionalFormatting>
  <conditionalFormatting sqref="AF4:AF6 Z5:AE5 AF11 AA6:AE6 AF9">
    <cfRule type="colorScale" priority="7">
      <colorScale>
        <cfvo type="num" val="0"/>
        <cfvo type="percentile" val="50"/>
        <cfvo type="num" val="4"/>
        <color theme="7" tint="0.79998168889431442"/>
        <color theme="9" tint="0.39997558519241921"/>
        <color theme="9" tint="-0.249977111117893"/>
      </colorScale>
    </cfRule>
    <cfRule type="colorScale" priority="8">
      <colorScale>
        <cfvo type="num" val="0"/>
        <cfvo type="percentile" val="50"/>
        <cfvo type="num" val="100"/>
        <color theme="7" tint="0.79998168889431442"/>
        <color theme="9" tint="0.39997558519241921"/>
        <color theme="9" tint="-0.499984740745262"/>
      </colorScale>
    </cfRule>
  </conditionalFormatting>
  <conditionalFormatting sqref="AF11">
    <cfRule type="colorScale" priority="6">
      <colorScale>
        <cfvo type="num" val="0"/>
        <cfvo type="percentile" val="50"/>
        <cfvo type="num" val="15"/>
        <color theme="7" tint="0.79998168889431442"/>
        <color theme="9" tint="0.59999389629810485"/>
        <color theme="9"/>
      </colorScale>
    </cfRule>
  </conditionalFormatting>
  <conditionalFormatting sqref="AG4:AG11">
    <cfRule type="colorScale" priority="1">
      <colorScale>
        <cfvo type="num" val="0"/>
        <cfvo type="percentile" val="50"/>
        <cfvo type="num" val="100"/>
        <color theme="7" tint="0.79998168889431442"/>
        <color theme="9" tint="0.79998168889431442"/>
        <color theme="9"/>
      </colorScale>
    </cfRule>
    <cfRule type="colorScale" priority="2">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439F-47C8-42B2-B32D-2E34EB21577F}">
  <dimension ref="A1:AB25"/>
  <sheetViews>
    <sheetView topLeftCell="F1" workbookViewId="0">
      <selection activeCell="P1" sqref="P1:AB18"/>
    </sheetView>
  </sheetViews>
  <sheetFormatPr defaultRowHeight="15"/>
  <cols>
    <col min="1" max="4" width="15.7109375" customWidth="1"/>
    <col min="5" max="5" width="16.28515625" customWidth="1"/>
    <col min="6" max="6" width="15.5703125" customWidth="1"/>
    <col min="7" max="13" width="15.7109375" customWidth="1"/>
    <col min="16" max="28" width="20.7109375" customWidth="1"/>
  </cols>
  <sheetData>
    <row r="1" spans="1:28" ht="30" customHeight="1">
      <c r="A1" s="19" t="s">
        <v>0</v>
      </c>
      <c r="B1" s="12"/>
      <c r="C1" s="12"/>
      <c r="D1" s="12"/>
      <c r="E1" s="12"/>
      <c r="F1" s="12"/>
      <c r="G1" s="12"/>
      <c r="H1" s="12"/>
      <c r="I1" s="12"/>
      <c r="J1" s="12"/>
      <c r="K1" s="12"/>
      <c r="L1" s="12"/>
      <c r="M1" s="12"/>
      <c r="P1" s="19" t="s">
        <v>1</v>
      </c>
      <c r="Q1" s="17"/>
      <c r="R1" s="17"/>
      <c r="S1" s="17"/>
      <c r="T1" s="17"/>
      <c r="U1" s="17"/>
      <c r="V1" s="17"/>
      <c r="W1" s="17"/>
    </row>
    <row r="2" spans="1:28" ht="43.5" customHeight="1">
      <c r="A2" s="19"/>
      <c r="B2" s="12"/>
      <c r="C2" s="12"/>
      <c r="D2" s="12"/>
      <c r="E2" s="14" t="s">
        <v>94</v>
      </c>
      <c r="F2" s="12"/>
      <c r="G2" s="12"/>
      <c r="H2" s="12"/>
      <c r="I2" s="12"/>
      <c r="J2" s="12"/>
      <c r="K2" s="12"/>
      <c r="L2" s="12"/>
      <c r="M2" s="12"/>
      <c r="P2" s="19"/>
      <c r="Q2" s="17"/>
      <c r="R2" s="17"/>
      <c r="S2" s="17"/>
      <c r="T2" s="17"/>
      <c r="U2" s="17"/>
      <c r="V2" s="17"/>
      <c r="W2" s="17"/>
    </row>
    <row r="3" spans="1:28" ht="59.25" customHeight="1">
      <c r="A3" s="1" t="s">
        <v>2</v>
      </c>
      <c r="B3" s="10" t="s">
        <v>95</v>
      </c>
      <c r="C3" s="10" t="s">
        <v>96</v>
      </c>
      <c r="D3" s="10" t="s">
        <v>97</v>
      </c>
      <c r="E3" s="10" t="s">
        <v>98</v>
      </c>
      <c r="F3" s="10" t="s">
        <v>99</v>
      </c>
      <c r="G3" s="10" t="s">
        <v>87</v>
      </c>
      <c r="H3" s="1" t="s">
        <v>30</v>
      </c>
      <c r="I3" s="1" t="s">
        <v>9</v>
      </c>
      <c r="J3" s="10" t="s">
        <v>31</v>
      </c>
      <c r="K3" s="1" t="s">
        <v>10</v>
      </c>
      <c r="L3" s="10" t="s">
        <v>89</v>
      </c>
      <c r="M3" s="1" t="s">
        <v>11</v>
      </c>
      <c r="P3" s="1" t="s">
        <v>61</v>
      </c>
      <c r="Q3" s="1" t="s">
        <v>74</v>
      </c>
      <c r="R3" s="1" t="s">
        <v>75</v>
      </c>
      <c r="S3" s="1" t="s">
        <v>14</v>
      </c>
      <c r="T3" s="1" t="s">
        <v>55</v>
      </c>
      <c r="U3" s="1" t="s">
        <v>49</v>
      </c>
      <c r="V3" s="1" t="s">
        <v>16</v>
      </c>
      <c r="W3" s="1" t="s">
        <v>56</v>
      </c>
      <c r="X3" s="1" t="s">
        <v>100</v>
      </c>
      <c r="Y3" s="1" t="s">
        <v>70</v>
      </c>
      <c r="Z3" s="1" t="s">
        <v>10</v>
      </c>
      <c r="AA3" s="1" t="s">
        <v>76</v>
      </c>
      <c r="AB3" s="1" t="s">
        <v>11</v>
      </c>
    </row>
    <row r="4" spans="1:28" ht="30" customHeight="1">
      <c r="A4" s="2" t="s">
        <v>18</v>
      </c>
      <c r="B4" s="2">
        <v>0</v>
      </c>
      <c r="C4" s="2">
        <v>0</v>
      </c>
      <c r="D4" s="2">
        <v>0</v>
      </c>
      <c r="E4" s="2">
        <v>0</v>
      </c>
      <c r="F4" s="2">
        <v>0</v>
      </c>
      <c r="G4" s="2">
        <v>0</v>
      </c>
      <c r="H4" s="2">
        <v>0</v>
      </c>
      <c r="I4" s="2">
        <v>1</v>
      </c>
      <c r="J4" s="2">
        <v>0</v>
      </c>
      <c r="K4" s="2">
        <v>1</v>
      </c>
      <c r="L4" s="2">
        <v>0</v>
      </c>
      <c r="M4" s="18" cm="1">
        <f t="array" ref="M4">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30</v>
      </c>
      <c r="P4" s="2" t="s">
        <v>18</v>
      </c>
      <c r="Q4" s="2">
        <v>0</v>
      </c>
      <c r="R4" s="2">
        <v>0</v>
      </c>
      <c r="S4" s="2">
        <v>0</v>
      </c>
      <c r="T4" s="2">
        <v>0</v>
      </c>
      <c r="U4" s="2">
        <v>0</v>
      </c>
      <c r="V4" s="11">
        <v>0</v>
      </c>
      <c r="W4" s="2">
        <v>0</v>
      </c>
      <c r="X4" s="16">
        <v>0</v>
      </c>
      <c r="Y4" s="2">
        <v>0</v>
      </c>
      <c r="Z4" s="11">
        <v>1</v>
      </c>
      <c r="AA4" s="2">
        <v>0</v>
      </c>
      <c r="AB4" s="18" cm="1">
        <f t="array" ref="AB4">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10</v>
      </c>
    </row>
    <row r="5" spans="1:28" ht="30" customHeight="1">
      <c r="A5" s="2" t="s">
        <v>19</v>
      </c>
      <c r="B5" s="2">
        <v>0</v>
      </c>
      <c r="C5" s="2">
        <v>0</v>
      </c>
      <c r="D5" s="2">
        <v>0</v>
      </c>
      <c r="E5" s="2">
        <v>0</v>
      </c>
      <c r="F5" s="2">
        <v>0</v>
      </c>
      <c r="G5" s="2">
        <v>0</v>
      </c>
      <c r="H5" s="2">
        <v>1</v>
      </c>
      <c r="I5" s="2">
        <v>0</v>
      </c>
      <c r="J5" s="2">
        <v>0</v>
      </c>
      <c r="K5" s="2">
        <v>1</v>
      </c>
      <c r="L5" s="2">
        <v>0</v>
      </c>
      <c r="M5" s="18" cm="1">
        <f t="array" ref="M5">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30</v>
      </c>
      <c r="P5" s="2" t="s">
        <v>19</v>
      </c>
      <c r="Q5" s="2">
        <v>0</v>
      </c>
      <c r="R5" s="2">
        <v>0</v>
      </c>
      <c r="S5" s="2">
        <v>0</v>
      </c>
      <c r="T5" s="2">
        <v>0</v>
      </c>
      <c r="U5" s="2">
        <v>0</v>
      </c>
      <c r="V5" s="11">
        <v>1</v>
      </c>
      <c r="W5" s="2">
        <v>0.5</v>
      </c>
      <c r="X5" s="16">
        <v>0.25</v>
      </c>
      <c r="Y5" s="2">
        <v>0</v>
      </c>
      <c r="Z5" s="11">
        <v>1</v>
      </c>
      <c r="AA5" s="2">
        <v>0</v>
      </c>
      <c r="AB5" s="18" cm="1">
        <f t="array" ref="AB5">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30</v>
      </c>
    </row>
    <row r="6" spans="1:28" ht="30" customHeight="1">
      <c r="A6" s="2" t="s">
        <v>20</v>
      </c>
      <c r="B6" s="2">
        <v>0</v>
      </c>
      <c r="C6" s="2">
        <v>0</v>
      </c>
      <c r="D6" s="2">
        <v>0</v>
      </c>
      <c r="E6" s="2">
        <v>2</v>
      </c>
      <c r="F6" s="2">
        <v>0</v>
      </c>
      <c r="G6" s="2">
        <v>1</v>
      </c>
      <c r="H6" s="2">
        <v>1</v>
      </c>
      <c r="I6" s="2">
        <v>0</v>
      </c>
      <c r="J6" s="2">
        <v>0</v>
      </c>
      <c r="K6" s="2">
        <v>1</v>
      </c>
      <c r="L6" s="2">
        <v>0</v>
      </c>
      <c r="M6" s="18" cm="1">
        <f t="array" ref="M6">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64</v>
      </c>
      <c r="P6" s="2" t="s">
        <v>20</v>
      </c>
      <c r="Q6" s="2">
        <v>0</v>
      </c>
      <c r="R6" s="2">
        <v>0</v>
      </c>
      <c r="S6" s="2">
        <v>0</v>
      </c>
      <c r="T6" s="2">
        <v>0</v>
      </c>
      <c r="U6" s="2">
        <v>0</v>
      </c>
      <c r="V6" s="2">
        <v>0</v>
      </c>
      <c r="W6" s="2">
        <v>1</v>
      </c>
      <c r="X6" s="16">
        <v>0</v>
      </c>
      <c r="Y6" s="2">
        <v>0</v>
      </c>
      <c r="Z6" s="11">
        <v>1</v>
      </c>
      <c r="AA6" s="11">
        <v>0</v>
      </c>
      <c r="AB6" s="18" cm="1">
        <f t="array" ref="AB6">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25</v>
      </c>
    </row>
    <row r="7" spans="1:28" ht="30" customHeight="1">
      <c r="A7" s="2" t="s">
        <v>21</v>
      </c>
      <c r="B7" s="2">
        <v>0</v>
      </c>
      <c r="C7" s="2">
        <v>0</v>
      </c>
      <c r="D7" s="2">
        <v>0</v>
      </c>
      <c r="E7" s="2">
        <v>1</v>
      </c>
      <c r="F7" s="2">
        <v>0</v>
      </c>
      <c r="G7" s="2">
        <v>1</v>
      </c>
      <c r="H7" s="2">
        <v>0</v>
      </c>
      <c r="I7" s="2">
        <v>0</v>
      </c>
      <c r="J7" s="2">
        <v>0</v>
      </c>
      <c r="K7" s="2">
        <v>1</v>
      </c>
      <c r="L7" s="2">
        <v>0</v>
      </c>
      <c r="M7" s="18" cm="1">
        <f t="array" ref="M7">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37</v>
      </c>
      <c r="P7" s="2" t="s">
        <v>21</v>
      </c>
      <c r="Q7" s="2">
        <v>0</v>
      </c>
      <c r="R7" s="2">
        <v>0</v>
      </c>
      <c r="S7" s="2">
        <v>0</v>
      </c>
      <c r="T7" s="2">
        <v>0</v>
      </c>
      <c r="U7" s="2">
        <v>0</v>
      </c>
      <c r="V7" s="11">
        <v>1</v>
      </c>
      <c r="W7" s="11">
        <v>1</v>
      </c>
      <c r="X7" s="11">
        <v>0.25</v>
      </c>
      <c r="Y7" s="2">
        <v>0</v>
      </c>
      <c r="Z7" s="11">
        <v>1</v>
      </c>
      <c r="AA7" s="2">
        <v>0</v>
      </c>
      <c r="AB7" s="18" cm="1">
        <f t="array" ref="AB7">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37.5</v>
      </c>
    </row>
    <row r="8" spans="1:28" ht="30" customHeight="1">
      <c r="A8" s="2" t="s">
        <v>22</v>
      </c>
      <c r="B8" s="2">
        <v>2</v>
      </c>
      <c r="C8" s="2">
        <v>0</v>
      </c>
      <c r="D8" s="2">
        <v>0</v>
      </c>
      <c r="E8" s="2">
        <v>1</v>
      </c>
      <c r="F8" s="2">
        <v>0</v>
      </c>
      <c r="G8" s="2">
        <v>1</v>
      </c>
      <c r="H8" s="2">
        <v>0</v>
      </c>
      <c r="I8" s="2">
        <v>0</v>
      </c>
      <c r="J8" s="2">
        <v>0</v>
      </c>
      <c r="K8" s="2">
        <v>1</v>
      </c>
      <c r="L8" s="2">
        <v>0</v>
      </c>
      <c r="M8" s="18" cm="1">
        <f t="array" ref="M8">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67</v>
      </c>
      <c r="P8" s="2" t="s">
        <v>22</v>
      </c>
      <c r="Q8" s="2">
        <v>0</v>
      </c>
      <c r="R8" s="2">
        <v>0</v>
      </c>
      <c r="S8" s="2">
        <v>0</v>
      </c>
      <c r="T8" s="2">
        <v>0</v>
      </c>
      <c r="U8" s="2">
        <v>0</v>
      </c>
      <c r="V8" s="2">
        <v>0</v>
      </c>
      <c r="W8" s="2">
        <v>0</v>
      </c>
      <c r="X8" s="2">
        <v>0</v>
      </c>
      <c r="Y8" s="2">
        <v>0</v>
      </c>
      <c r="Z8" s="2">
        <v>0</v>
      </c>
      <c r="AA8" s="2">
        <v>2</v>
      </c>
      <c r="AB8" s="18" cm="1">
        <f t="array" ref="AB8">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20</v>
      </c>
    </row>
    <row r="9" spans="1:28" ht="30" customHeight="1">
      <c r="A9" s="2" t="s">
        <v>23</v>
      </c>
      <c r="B9" s="2">
        <v>0</v>
      </c>
      <c r="C9" s="2">
        <v>0</v>
      </c>
      <c r="D9" s="2">
        <v>0</v>
      </c>
      <c r="E9" s="2">
        <v>1</v>
      </c>
      <c r="F9" s="2">
        <v>0</v>
      </c>
      <c r="G9" s="2">
        <v>4</v>
      </c>
      <c r="H9" s="2">
        <v>0</v>
      </c>
      <c r="I9" s="2">
        <v>1</v>
      </c>
      <c r="J9" s="2">
        <v>0</v>
      </c>
      <c r="K9" s="2">
        <v>1</v>
      </c>
      <c r="L9" s="2">
        <v>0</v>
      </c>
      <c r="M9" s="18" cm="1">
        <f t="array" ref="M9">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82</v>
      </c>
      <c r="P9" s="2" t="s">
        <v>23</v>
      </c>
      <c r="Q9" s="2">
        <v>0</v>
      </c>
      <c r="R9" s="2">
        <v>0</v>
      </c>
      <c r="S9" s="2">
        <v>0</v>
      </c>
      <c r="T9" s="2">
        <v>0</v>
      </c>
      <c r="U9" s="2">
        <v>0</v>
      </c>
      <c r="V9" s="2">
        <v>0</v>
      </c>
      <c r="W9" s="2">
        <v>0</v>
      </c>
      <c r="X9" s="2">
        <v>0</v>
      </c>
      <c r="Y9" s="2">
        <v>0</v>
      </c>
      <c r="Z9" s="2">
        <v>0</v>
      </c>
      <c r="AA9" s="2">
        <v>0</v>
      </c>
      <c r="AB9" s="18" cm="1">
        <f t="array" ref="AB9">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0</v>
      </c>
    </row>
    <row r="10" spans="1:28" ht="30" customHeight="1">
      <c r="A10" s="2" t="s">
        <v>24</v>
      </c>
      <c r="B10" s="2">
        <v>0</v>
      </c>
      <c r="C10" s="2">
        <v>0</v>
      </c>
      <c r="D10" s="2">
        <v>0</v>
      </c>
      <c r="E10" s="2">
        <v>0</v>
      </c>
      <c r="F10" s="2">
        <v>0</v>
      </c>
      <c r="G10" s="2">
        <v>0</v>
      </c>
      <c r="H10" s="2">
        <v>0</v>
      </c>
      <c r="I10" s="2">
        <v>0</v>
      </c>
      <c r="J10" s="2">
        <v>0</v>
      </c>
      <c r="K10" s="2">
        <v>0</v>
      </c>
      <c r="L10" s="2">
        <v>0</v>
      </c>
      <c r="M10" s="18" cm="1">
        <f t="array" ref="M10">SUM(Table21414185161720921212426[[#This Row],[Admin Tasks (indiv)]]*10,Table21414185161720921212426[[#This Row],[Labcast]]*15, Table21414185161720921212426[[#This Row],[Wake up at 10:30
sleep at 2]]*15,Table21414185161720921212426[[#This Row],[Leetcode ]]*15,Table21414185161720921212426[[#This Row],[HairFlow ]]*10,Table21414185161720921212426[[#This Row],[Classes 
(PWR, 131, D45)]:[Reading H1C]]*12,Table21414185161720921212426[[#This Row],[P]]*15, Table21414185161720921212426[[#This Row],[gym ]]*15, Table21414185161720921212426[[#This Row],[Squash]]*15, Table21414185161720921212426[[#This Row],[Recharging &amp; 
Socializing]]*10)</f>
        <v>0</v>
      </c>
      <c r="P10" s="2" t="s">
        <v>24</v>
      </c>
      <c r="Q10" s="2">
        <v>0</v>
      </c>
      <c r="R10" s="2">
        <v>0</v>
      </c>
      <c r="S10" s="2">
        <v>0</v>
      </c>
      <c r="T10" s="2">
        <v>0</v>
      </c>
      <c r="U10" s="2">
        <v>0</v>
      </c>
      <c r="V10" s="2">
        <v>1</v>
      </c>
      <c r="W10" s="2">
        <v>1</v>
      </c>
      <c r="X10" s="2">
        <v>0.75</v>
      </c>
      <c r="Y10" s="2">
        <v>0</v>
      </c>
      <c r="Z10" s="2">
        <v>1</v>
      </c>
      <c r="AA10" s="2">
        <v>0</v>
      </c>
      <c r="AB10" s="18" cm="1">
        <f t="array" ref="AB10">SUM(Table261312219781011232527[[#This Row],[CNS]:[RBS]]*15, Table261312219781011232527[[#This Row],[Work &amp; Reading]]*10,Table261312219781011232527[[#This Row],[Gym]]*10,Table261312219781011232527[[#This Row],[1 hr Cardio]]*10,Table261312219781011232527[[#This Row],[Cut &amp; Hydration]]*15,Table261312219781011232527[[#This Row],[Negida Academy]]*10, Table261312219781011232527[[#This Row],[P]]*10, Table261312219781011232527[[#This Row],[RT]]*10, Table261312219781011232527[[#This Row],[quit scrolling]]*10)</f>
        <v>42.5</v>
      </c>
    </row>
    <row r="11" spans="1:28" ht="30" customHeight="1">
      <c r="A11" s="2" t="s">
        <v>25</v>
      </c>
      <c r="B11" s="3">
        <f t="shared" ref="B11:L11" si="0">SUM(B4:B10)</f>
        <v>2</v>
      </c>
      <c r="C11" s="3">
        <f t="shared" si="0"/>
        <v>0</v>
      </c>
      <c r="D11" s="3">
        <f t="shared" si="0"/>
        <v>0</v>
      </c>
      <c r="E11" s="3">
        <f t="shared" si="0"/>
        <v>5</v>
      </c>
      <c r="F11" s="3">
        <f t="shared" si="0"/>
        <v>0</v>
      </c>
      <c r="G11" s="3">
        <f t="shared" si="0"/>
        <v>7</v>
      </c>
      <c r="H11" s="3">
        <f t="shared" si="0"/>
        <v>2</v>
      </c>
      <c r="I11" s="3">
        <f t="shared" si="0"/>
        <v>2</v>
      </c>
      <c r="J11" s="3">
        <f t="shared" si="0"/>
        <v>0</v>
      </c>
      <c r="K11" s="3">
        <f t="shared" si="0"/>
        <v>6</v>
      </c>
      <c r="L11" s="3">
        <f t="shared" si="0"/>
        <v>0</v>
      </c>
      <c r="M11" s="18">
        <f>ROUND(SUM(M4:M10)/7, 0)</f>
        <v>44</v>
      </c>
      <c r="P11" s="2" t="s">
        <v>25</v>
      </c>
      <c r="Q11" s="2">
        <v>0</v>
      </c>
      <c r="R11" s="3">
        <f t="shared" ref="R11" si="1">SUM(R4:R10)</f>
        <v>0</v>
      </c>
      <c r="S11" s="3">
        <f>SUM(S4:S10)</f>
        <v>0</v>
      </c>
      <c r="T11" s="3">
        <f>SUM(T4:T10)</f>
        <v>0</v>
      </c>
      <c r="U11" s="3">
        <v>0</v>
      </c>
      <c r="V11" s="3">
        <v>0</v>
      </c>
      <c r="W11" s="3">
        <f>SUM(W4:W10)</f>
        <v>3.5</v>
      </c>
      <c r="X11" s="2">
        <v>0</v>
      </c>
      <c r="Y11" s="3">
        <f>SUM(Y4:Y10)</f>
        <v>0</v>
      </c>
      <c r="Z11" s="2">
        <v>0</v>
      </c>
      <c r="AA11" s="2">
        <v>0</v>
      </c>
      <c r="AB11" s="18">
        <f>ROUND(SUM(AB4:AB10)/7,0)</f>
        <v>24</v>
      </c>
    </row>
    <row r="12" spans="1:28" ht="24.75" customHeight="1">
      <c r="A12" s="25" t="s">
        <v>101</v>
      </c>
      <c r="B12" s="20"/>
      <c r="C12" s="20"/>
      <c r="D12" s="20"/>
      <c r="E12" s="20"/>
      <c r="F12" s="20"/>
      <c r="G12" s="20"/>
      <c r="H12" s="20"/>
      <c r="I12" s="20"/>
      <c r="J12" s="20"/>
      <c r="K12" s="20"/>
      <c r="L12" s="20"/>
      <c r="M12" s="20"/>
      <c r="P12" s="20" t="s">
        <v>102</v>
      </c>
      <c r="Q12" s="21"/>
      <c r="R12" s="21"/>
      <c r="S12" s="21"/>
      <c r="T12" s="21"/>
      <c r="U12" s="21"/>
      <c r="V12" s="21"/>
      <c r="W12" s="21"/>
      <c r="X12" s="21"/>
      <c r="Y12" s="21"/>
    </row>
    <row r="13" spans="1:28" ht="24.75" customHeight="1">
      <c r="A13" s="20"/>
      <c r="B13" s="20"/>
      <c r="C13" s="20"/>
      <c r="D13" s="20"/>
      <c r="E13" s="20"/>
      <c r="F13" s="20"/>
      <c r="G13" s="20"/>
      <c r="H13" s="20"/>
      <c r="I13" s="20"/>
      <c r="J13" s="20"/>
      <c r="K13" s="20"/>
      <c r="L13" s="20"/>
      <c r="M13" s="20"/>
      <c r="P13" s="21"/>
      <c r="Q13" s="21"/>
      <c r="R13" s="21"/>
      <c r="S13" s="21"/>
      <c r="T13" s="21"/>
      <c r="U13" s="21"/>
      <c r="V13" s="21"/>
      <c r="W13" s="21"/>
      <c r="X13" s="21"/>
      <c r="Y13" s="21"/>
    </row>
    <row r="14" spans="1:28" ht="24.75" customHeight="1">
      <c r="A14" s="20"/>
      <c r="B14" s="20"/>
      <c r="C14" s="20"/>
      <c r="D14" s="20"/>
      <c r="E14" s="20"/>
      <c r="F14" s="20"/>
      <c r="G14" s="20"/>
      <c r="H14" s="20"/>
      <c r="I14" s="20"/>
      <c r="J14" s="20"/>
      <c r="K14" s="20"/>
      <c r="L14" s="20"/>
      <c r="M14" s="20"/>
      <c r="P14" s="21"/>
      <c r="Q14" s="21"/>
      <c r="R14" s="21"/>
      <c r="S14" s="21"/>
      <c r="T14" s="21"/>
      <c r="U14" s="21"/>
      <c r="V14" s="21"/>
      <c r="W14" s="21"/>
      <c r="X14" s="21"/>
      <c r="Y14" s="21"/>
    </row>
    <row r="15" spans="1:28" ht="24.75" customHeight="1">
      <c r="A15" s="20"/>
      <c r="B15" s="20"/>
      <c r="C15" s="20"/>
      <c r="D15" s="20"/>
      <c r="E15" s="20"/>
      <c r="F15" s="20"/>
      <c r="G15" s="20"/>
      <c r="H15" s="20"/>
      <c r="I15" s="20"/>
      <c r="J15" s="20"/>
      <c r="K15" s="20"/>
      <c r="L15" s="20"/>
      <c r="M15" s="20"/>
      <c r="P15" s="21"/>
      <c r="Q15" s="21"/>
      <c r="R15" s="21"/>
      <c r="S15" s="21"/>
      <c r="T15" s="21"/>
      <c r="U15" s="21"/>
      <c r="V15" s="21"/>
      <c r="W15" s="21"/>
      <c r="X15" s="21"/>
      <c r="Y15" s="21"/>
    </row>
    <row r="16" spans="1:28" ht="24.75" customHeight="1">
      <c r="A16" s="20"/>
      <c r="B16" s="20"/>
      <c r="C16" s="20"/>
      <c r="D16" s="20"/>
      <c r="E16" s="20"/>
      <c r="F16" s="20"/>
      <c r="G16" s="20"/>
      <c r="H16" s="20"/>
      <c r="I16" s="20"/>
      <c r="J16" s="20"/>
      <c r="K16" s="20"/>
      <c r="L16" s="20"/>
      <c r="M16" s="20"/>
      <c r="P16" s="21"/>
      <c r="Q16" s="21"/>
      <c r="R16" s="21"/>
      <c r="S16" s="21"/>
      <c r="T16" s="21"/>
      <c r="U16" s="21"/>
      <c r="V16" s="21"/>
      <c r="W16" s="21"/>
      <c r="X16" s="21"/>
      <c r="Y16" s="21"/>
    </row>
    <row r="17" spans="1:25" ht="24.75" customHeight="1">
      <c r="A17" s="20"/>
      <c r="B17" s="20"/>
      <c r="C17" s="20"/>
      <c r="D17" s="20"/>
      <c r="E17" s="20"/>
      <c r="F17" s="20"/>
      <c r="G17" s="20"/>
      <c r="H17" s="20"/>
      <c r="I17" s="20"/>
      <c r="J17" s="20"/>
      <c r="K17" s="20"/>
      <c r="L17" s="20"/>
      <c r="M17" s="20"/>
      <c r="P17" s="21"/>
      <c r="Q17" s="21"/>
      <c r="R17" s="21"/>
      <c r="S17" s="21"/>
      <c r="T17" s="21"/>
      <c r="U17" s="21"/>
      <c r="V17" s="21"/>
      <c r="W17" s="21"/>
      <c r="X17" s="21"/>
      <c r="Y17" s="21"/>
    </row>
    <row r="18" spans="1:25" ht="159.75" customHeight="1">
      <c r="A18" s="20"/>
      <c r="B18" s="20"/>
      <c r="C18" s="20"/>
      <c r="D18" s="20"/>
      <c r="E18" s="20"/>
      <c r="F18" s="20"/>
      <c r="G18" s="20"/>
      <c r="H18" s="20"/>
      <c r="I18" s="20"/>
      <c r="J18" s="20"/>
      <c r="K18" s="20"/>
      <c r="L18" s="20"/>
      <c r="M18" s="20"/>
      <c r="P18" s="21"/>
      <c r="Q18" s="21"/>
      <c r="R18" s="21"/>
      <c r="S18" s="21"/>
      <c r="T18" s="21"/>
      <c r="U18" s="21"/>
      <c r="V18" s="21"/>
      <c r="W18" s="21"/>
      <c r="X18" s="21"/>
      <c r="Y18" s="21"/>
    </row>
    <row r="19" spans="1:25" ht="24.75" customHeight="1">
      <c r="A19" s="20" t="s">
        <v>103</v>
      </c>
      <c r="B19" s="20"/>
      <c r="C19" s="20"/>
      <c r="D19" s="20"/>
      <c r="E19" s="20"/>
      <c r="F19" s="20"/>
      <c r="G19" s="20"/>
      <c r="H19" s="20"/>
      <c r="I19" s="20"/>
      <c r="J19" s="20"/>
      <c r="K19" s="20"/>
      <c r="L19" s="20"/>
      <c r="M19" s="20"/>
    </row>
    <row r="20" spans="1:25" ht="24.75" customHeight="1">
      <c r="A20" s="20"/>
      <c r="B20" s="20"/>
      <c r="C20" s="20"/>
      <c r="D20" s="20"/>
      <c r="E20" s="20"/>
      <c r="F20" s="20"/>
      <c r="G20" s="20"/>
      <c r="H20" s="20"/>
      <c r="I20" s="20"/>
      <c r="J20" s="20"/>
      <c r="K20" s="20"/>
      <c r="L20" s="20"/>
      <c r="M20" s="20"/>
    </row>
    <row r="21" spans="1:25" ht="24.75" customHeight="1">
      <c r="A21" s="20"/>
      <c r="B21" s="20"/>
      <c r="C21" s="20"/>
      <c r="D21" s="20"/>
      <c r="E21" s="20"/>
      <c r="F21" s="20"/>
      <c r="G21" s="20"/>
      <c r="H21" s="20"/>
      <c r="I21" s="20"/>
      <c r="J21" s="20"/>
      <c r="K21" s="20"/>
      <c r="L21" s="20"/>
      <c r="M21" s="20"/>
    </row>
    <row r="22" spans="1:25" ht="24.75" customHeight="1">
      <c r="A22" s="20"/>
      <c r="B22" s="20"/>
      <c r="C22" s="20"/>
      <c r="D22" s="20"/>
      <c r="E22" s="20"/>
      <c r="F22" s="20"/>
      <c r="G22" s="20"/>
      <c r="H22" s="20"/>
      <c r="I22" s="20"/>
      <c r="J22" s="20"/>
      <c r="K22" s="20"/>
      <c r="L22" s="20"/>
      <c r="M22" s="20"/>
    </row>
    <row r="23" spans="1:25" ht="24.75" customHeight="1">
      <c r="A23" s="20"/>
      <c r="B23" s="20"/>
      <c r="C23" s="20"/>
      <c r="D23" s="20"/>
      <c r="E23" s="20"/>
      <c r="F23" s="20"/>
      <c r="G23" s="20"/>
      <c r="H23" s="20"/>
      <c r="I23" s="20"/>
      <c r="J23" s="20"/>
      <c r="K23" s="20"/>
      <c r="L23" s="20"/>
      <c r="M23" s="20"/>
    </row>
    <row r="24" spans="1:25" ht="24.75" customHeight="1">
      <c r="A24" s="20"/>
      <c r="B24" s="20"/>
      <c r="C24" s="20"/>
      <c r="D24" s="20"/>
      <c r="E24" s="20"/>
      <c r="F24" s="20"/>
      <c r="G24" s="20"/>
      <c r="H24" s="20"/>
      <c r="I24" s="20"/>
      <c r="J24" s="20"/>
      <c r="K24" s="20"/>
      <c r="L24" s="20"/>
      <c r="M24" s="20"/>
    </row>
    <row r="25" spans="1:25" ht="24.75" customHeight="1">
      <c r="A25" s="20"/>
      <c r="B25" s="20"/>
      <c r="C25" s="20"/>
      <c r="D25" s="20"/>
      <c r="E25" s="20"/>
      <c r="F25" s="20"/>
      <c r="G25" s="20"/>
      <c r="H25" s="20"/>
      <c r="I25" s="20"/>
      <c r="J25" s="20"/>
      <c r="K25" s="20"/>
      <c r="L25" s="20"/>
      <c r="M25" s="20"/>
    </row>
  </sheetData>
  <mergeCells count="5">
    <mergeCell ref="A1:A2"/>
    <mergeCell ref="A12:M18"/>
    <mergeCell ref="A19:M25"/>
    <mergeCell ref="P1:P2"/>
    <mergeCell ref="P12:Y18"/>
  </mergeCells>
  <conditionalFormatting sqref="B11:L11">
    <cfRule type="colorScale" priority="13">
      <colorScale>
        <cfvo type="num" val="0"/>
        <cfvo type="percentile" val="50"/>
        <cfvo type="num" val="15"/>
        <color theme="7" tint="0.79998168889431442"/>
        <color theme="9" tint="0.59999389629810485"/>
        <color theme="9"/>
      </colorScale>
    </cfRule>
  </conditionalFormatting>
  <conditionalFormatting sqref="B5:B10 B11:L11">
    <cfRule type="colorScale" priority="15">
      <colorScale>
        <cfvo type="num" val="0"/>
        <cfvo type="percentile" val="50"/>
        <cfvo type="num" val="100"/>
        <color theme="7" tint="0.79998168889431442"/>
        <color theme="9" tint="0.39997558519241921"/>
        <color theme="9" tint="-0.499984740745262"/>
      </colorScale>
    </cfRule>
  </conditionalFormatting>
  <conditionalFormatting sqref="B5:B10">
    <cfRule type="colorScale" priority="14">
      <colorScale>
        <cfvo type="num" val="0"/>
        <cfvo type="percentile" val="50"/>
        <cfvo type="num" val="4"/>
        <color theme="7" tint="0.79998168889431442"/>
        <color theme="9" tint="0.39997558519241921"/>
        <color theme="9" tint="-0.249977111117893"/>
      </colorScale>
    </cfRule>
  </conditionalFormatting>
  <conditionalFormatting sqref="C4:L10 B4">
    <cfRule type="colorScale" priority="9">
      <colorScale>
        <cfvo type="num" val="0"/>
        <cfvo type="percentile" val="50"/>
        <cfvo type="num" val="4"/>
        <color theme="7" tint="0.79998168889431442"/>
        <color theme="9" tint="0.39997558519241921"/>
        <color theme="9" tint="-0.249977111117893"/>
      </colorScale>
    </cfRule>
    <cfRule type="colorScale" priority="10">
      <colorScale>
        <cfvo type="num" val="0"/>
        <cfvo type="percentile" val="50"/>
        <cfvo type="num" val="100"/>
        <color theme="7" tint="0.79998168889431442"/>
        <color theme="9" tint="0.39997558519241921"/>
        <color theme="9" tint="-0.499984740745262"/>
      </colorScale>
    </cfRule>
  </conditionalFormatting>
  <conditionalFormatting sqref="M4:M11">
    <cfRule type="colorScale" priority="11">
      <colorScale>
        <cfvo type="num" val="0"/>
        <cfvo type="percentile" val="50"/>
        <cfvo type="num" val="100"/>
        <color theme="7" tint="0.79998168889431442"/>
        <color theme="9" tint="0.79998168889431442"/>
        <color theme="9"/>
      </colorScale>
    </cfRule>
    <cfRule type="colorScale" priority="12">
      <colorScale>
        <cfvo type="num" val="0"/>
        <cfvo type="num" val="100"/>
        <color theme="7" tint="0.79998168889431442"/>
        <color theme="9" tint="-0.249977111117893"/>
      </colorScale>
    </cfRule>
  </conditionalFormatting>
  <conditionalFormatting sqref="Q4:Z4 Q11 Q5:T5 Z11 Y10:AA10 Q6:U7 Y9:Z9 X9:X11 Q9:W10 Q8:AA8 V7:AA7">
    <cfRule type="colorScale" priority="4">
      <colorScale>
        <cfvo type="num" val="0"/>
        <cfvo type="percentile" val="50"/>
        <cfvo type="num" val="4"/>
        <color theme="7" tint="0.79998168889431442"/>
        <color theme="9" tint="0.39997558519241921"/>
        <color theme="9" tint="-0.249977111117893"/>
      </colorScale>
    </cfRule>
  </conditionalFormatting>
  <conditionalFormatting sqref="Q4:Z4 Q5:T5 Q11:Z11 Q10:AA10 Q6:U7 Q9:Z9 Q8:AA8 V7:AA7">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Q11:Z11 V4 V9:V10">
    <cfRule type="colorScale" priority="3">
      <colorScale>
        <cfvo type="num" val="0"/>
        <cfvo type="percentile" val="50"/>
        <cfvo type="num" val="15"/>
        <color theme="7" tint="0.79998168889431442"/>
        <color theme="9" tint="0.59999389629810485"/>
        <color theme="9"/>
      </colorScale>
    </cfRule>
  </conditionalFormatting>
  <conditionalFormatting sqref="AA4:AA6 U5:Z5 AA11 V6:Z6 AA9">
    <cfRule type="colorScale" priority="7">
      <colorScale>
        <cfvo type="num" val="0"/>
        <cfvo type="percentile" val="50"/>
        <cfvo type="num" val="4"/>
        <color theme="7" tint="0.79998168889431442"/>
        <color theme="9" tint="0.39997558519241921"/>
        <color theme="9" tint="-0.249977111117893"/>
      </colorScale>
    </cfRule>
    <cfRule type="colorScale" priority="8">
      <colorScale>
        <cfvo type="num" val="0"/>
        <cfvo type="percentile" val="50"/>
        <cfvo type="num" val="100"/>
        <color theme="7" tint="0.79998168889431442"/>
        <color theme="9" tint="0.39997558519241921"/>
        <color theme="9" tint="-0.499984740745262"/>
      </colorScale>
    </cfRule>
  </conditionalFormatting>
  <conditionalFormatting sqref="AA11">
    <cfRule type="colorScale" priority="6">
      <colorScale>
        <cfvo type="num" val="0"/>
        <cfvo type="percentile" val="50"/>
        <cfvo type="num" val="15"/>
        <color theme="7" tint="0.79998168889431442"/>
        <color theme="9" tint="0.59999389629810485"/>
        <color theme="9"/>
      </colorScale>
    </cfRule>
  </conditionalFormatting>
  <conditionalFormatting sqref="AB4:AB11">
    <cfRule type="colorScale" priority="1">
      <colorScale>
        <cfvo type="num" val="0"/>
        <cfvo type="percentile" val="50"/>
        <cfvo type="num" val="100"/>
        <color theme="7" tint="0.79998168889431442"/>
        <color theme="9" tint="0.79998168889431442"/>
        <color theme="9"/>
      </colorScale>
    </cfRule>
    <cfRule type="colorScale" priority="2">
      <colorScale>
        <cfvo type="num" val="0"/>
        <cfvo type="num" val="100"/>
        <color theme="7" tint="0.79998168889431442"/>
        <color theme="9" tint="-0.249977111117893"/>
      </colorScale>
    </cfRule>
  </conditionalFormatting>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54D89-B38C-444C-8CCE-C891771EE12B}">
  <dimension ref="P1:AB18"/>
  <sheetViews>
    <sheetView tabSelected="1" topLeftCell="N2" workbookViewId="0">
      <selection activeCell="Q6" sqref="Q6"/>
    </sheetView>
  </sheetViews>
  <sheetFormatPr defaultRowHeight="15"/>
  <cols>
    <col min="16" max="28" width="20.7109375" customWidth="1"/>
  </cols>
  <sheetData>
    <row r="1" spans="16:28" ht="30" customHeight="1">
      <c r="P1" s="19" t="s">
        <v>1</v>
      </c>
      <c r="Q1" s="17"/>
      <c r="R1" s="17"/>
      <c r="S1" s="17"/>
      <c r="T1" s="17"/>
      <c r="U1" s="17"/>
      <c r="V1" s="17"/>
      <c r="W1" s="17"/>
    </row>
    <row r="2" spans="16:28" ht="30" customHeight="1">
      <c r="P2" s="19"/>
      <c r="Q2" s="17"/>
      <c r="R2" s="17"/>
      <c r="S2" s="17"/>
      <c r="T2" s="17"/>
      <c r="U2" s="17"/>
      <c r="V2" s="17"/>
      <c r="W2" s="17"/>
    </row>
    <row r="3" spans="16:28" ht="30" customHeight="1">
      <c r="P3" s="1" t="s">
        <v>61</v>
      </c>
      <c r="Q3" s="1" t="s">
        <v>74</v>
      </c>
      <c r="R3" s="1" t="s">
        <v>75</v>
      </c>
      <c r="S3" s="1" t="s">
        <v>14</v>
      </c>
      <c r="T3" s="1" t="s">
        <v>55</v>
      </c>
      <c r="U3" s="1" t="s">
        <v>49</v>
      </c>
      <c r="V3" s="1" t="s">
        <v>16</v>
      </c>
      <c r="W3" s="1" t="s">
        <v>56</v>
      </c>
      <c r="X3" s="1" t="s">
        <v>104</v>
      </c>
      <c r="Y3" s="1" t="s">
        <v>70</v>
      </c>
      <c r="Z3" s="1" t="s">
        <v>10</v>
      </c>
      <c r="AA3" s="1" t="s">
        <v>76</v>
      </c>
      <c r="AB3" s="1" t="s">
        <v>11</v>
      </c>
    </row>
    <row r="4" spans="16:28" ht="30" customHeight="1">
      <c r="P4" s="2" t="s">
        <v>18</v>
      </c>
      <c r="Q4" s="2">
        <v>0</v>
      </c>
      <c r="R4" s="2">
        <v>0</v>
      </c>
      <c r="S4" s="11">
        <v>2</v>
      </c>
      <c r="T4" s="2">
        <v>0</v>
      </c>
      <c r="U4" s="2">
        <v>0</v>
      </c>
      <c r="V4" s="11">
        <v>1</v>
      </c>
      <c r="W4" s="2">
        <v>1</v>
      </c>
      <c r="X4" s="16">
        <v>1</v>
      </c>
      <c r="Y4" s="2">
        <v>1</v>
      </c>
      <c r="Z4" s="11">
        <v>1</v>
      </c>
      <c r="AA4" s="11">
        <v>1</v>
      </c>
      <c r="AB4" s="18" cm="1">
        <f t="array" ref="AB4">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95</v>
      </c>
    </row>
    <row r="5" spans="16:28" ht="30" customHeight="1">
      <c r="P5" s="2" t="s">
        <v>19</v>
      </c>
      <c r="Q5" s="2">
        <v>0</v>
      </c>
      <c r="R5" s="2">
        <v>0</v>
      </c>
      <c r="S5" s="2">
        <v>1</v>
      </c>
      <c r="T5" s="2">
        <v>0</v>
      </c>
      <c r="U5" s="2">
        <v>0</v>
      </c>
      <c r="V5" s="11">
        <v>1</v>
      </c>
      <c r="W5" s="2">
        <v>1</v>
      </c>
      <c r="X5" s="16">
        <v>0.5</v>
      </c>
      <c r="Y5" s="2">
        <v>1</v>
      </c>
      <c r="Z5" s="11">
        <v>1</v>
      </c>
      <c r="AA5" s="2">
        <v>0</v>
      </c>
      <c r="AB5" s="18" cm="1">
        <f t="array" ref="AB5">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65</v>
      </c>
    </row>
    <row r="6" spans="16:28" ht="30" customHeight="1">
      <c r="P6" s="2" t="s">
        <v>20</v>
      </c>
      <c r="Q6" s="2">
        <v>0</v>
      </c>
      <c r="R6" s="2">
        <v>0</v>
      </c>
      <c r="S6" s="2">
        <v>0</v>
      </c>
      <c r="T6" s="2">
        <v>0</v>
      </c>
      <c r="U6" s="2">
        <v>0</v>
      </c>
      <c r="V6" s="2">
        <v>0</v>
      </c>
      <c r="W6" s="2">
        <v>0</v>
      </c>
      <c r="X6" s="16">
        <v>0</v>
      </c>
      <c r="Y6" s="2">
        <v>0</v>
      </c>
      <c r="Z6" s="11">
        <v>0</v>
      </c>
      <c r="AA6" s="11">
        <v>0</v>
      </c>
      <c r="AB6" s="18" cm="1">
        <f t="array" ref="AB6">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0</v>
      </c>
    </row>
    <row r="7" spans="16:28" ht="30" customHeight="1">
      <c r="P7" s="2" t="s">
        <v>21</v>
      </c>
      <c r="Q7" s="2">
        <v>0</v>
      </c>
      <c r="R7" s="2">
        <v>0</v>
      </c>
      <c r="S7" s="2">
        <v>0</v>
      </c>
      <c r="T7" s="2">
        <v>0</v>
      </c>
      <c r="U7" s="2">
        <v>0</v>
      </c>
      <c r="V7" s="11">
        <v>0</v>
      </c>
      <c r="W7" s="11">
        <v>0</v>
      </c>
      <c r="X7" s="11">
        <v>0</v>
      </c>
      <c r="Y7" s="2">
        <v>0</v>
      </c>
      <c r="Z7" s="11">
        <v>0</v>
      </c>
      <c r="AA7" s="2">
        <v>0</v>
      </c>
      <c r="AB7" s="18" cm="1">
        <f t="array" ref="AB7">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0</v>
      </c>
    </row>
    <row r="8" spans="16:28" ht="30" customHeight="1">
      <c r="P8" s="2" t="s">
        <v>22</v>
      </c>
      <c r="Q8" s="2">
        <v>0</v>
      </c>
      <c r="R8" s="2">
        <v>0</v>
      </c>
      <c r="S8" s="2">
        <v>0</v>
      </c>
      <c r="T8" s="2">
        <v>0</v>
      </c>
      <c r="U8" s="2">
        <v>0</v>
      </c>
      <c r="V8" s="2">
        <v>0</v>
      </c>
      <c r="W8" s="2">
        <v>0</v>
      </c>
      <c r="X8" s="2">
        <v>0</v>
      </c>
      <c r="Y8" s="2">
        <v>0</v>
      </c>
      <c r="Z8" s="2">
        <v>0</v>
      </c>
      <c r="AA8" s="2">
        <v>0</v>
      </c>
      <c r="AB8" s="18" cm="1">
        <f t="array" ref="AB8">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0</v>
      </c>
    </row>
    <row r="9" spans="16:28" ht="30" customHeight="1">
      <c r="P9" s="2" t="s">
        <v>23</v>
      </c>
      <c r="Q9" s="2">
        <v>0</v>
      </c>
      <c r="R9" s="2">
        <v>0</v>
      </c>
      <c r="S9" s="2">
        <v>0</v>
      </c>
      <c r="T9" s="2">
        <v>0</v>
      </c>
      <c r="U9" s="2">
        <v>0</v>
      </c>
      <c r="V9" s="2">
        <v>0</v>
      </c>
      <c r="W9" s="2">
        <v>0</v>
      </c>
      <c r="X9" s="2">
        <v>0</v>
      </c>
      <c r="Y9" s="2">
        <v>0</v>
      </c>
      <c r="Z9" s="2">
        <v>0</v>
      </c>
      <c r="AA9" s="2">
        <v>0</v>
      </c>
      <c r="AB9" s="18" cm="1">
        <f t="array" ref="AB9">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0</v>
      </c>
    </row>
    <row r="10" spans="16:28" ht="30" customHeight="1">
      <c r="P10" s="2" t="s">
        <v>24</v>
      </c>
      <c r="Q10" s="2">
        <v>0</v>
      </c>
      <c r="R10" s="2">
        <v>0</v>
      </c>
      <c r="S10" s="2">
        <v>0</v>
      </c>
      <c r="T10" s="2">
        <v>0</v>
      </c>
      <c r="U10" s="2">
        <v>0</v>
      </c>
      <c r="V10" s="2">
        <v>0</v>
      </c>
      <c r="W10" s="2">
        <v>0</v>
      </c>
      <c r="X10" s="2">
        <v>0</v>
      </c>
      <c r="Y10" s="2">
        <v>0</v>
      </c>
      <c r="Z10" s="2">
        <v>0</v>
      </c>
      <c r="AA10" s="2">
        <v>0</v>
      </c>
      <c r="AB10" s="18" cm="1">
        <f t="array" ref="AB10">SUM(Table26131221978101123252728[[#This Row],[CNS]:[RBS]]*15, Table26131221978101123252728[[#This Row],[Work &amp; Reading]]*10,Table26131221978101123252728[[#This Row],[Gym]]*10,Table26131221978101123252728[[#This Row],[30 min Cardio]]*10,Table26131221978101123252728[[#This Row],[Cut &amp; Hydration]]*15,Table26131221978101123252728[[#This Row],[Negida Academy]]*10, Table26131221978101123252728[[#This Row],[P]]*10, Table26131221978101123252728[[#This Row],[RT]]*10, Table26131221978101123252728[[#This Row],[quit scrolling]]*10)</f>
        <v>0</v>
      </c>
    </row>
    <row r="11" spans="16:28" ht="30" customHeight="1">
      <c r="P11" s="2" t="s">
        <v>25</v>
      </c>
      <c r="Q11" s="2">
        <v>0</v>
      </c>
      <c r="R11" s="3">
        <f t="shared" ref="R11" si="0">SUM(R4:R10)</f>
        <v>0</v>
      </c>
      <c r="S11" s="3">
        <f>SUM(S4:S10)</f>
        <v>3</v>
      </c>
      <c r="T11" s="3">
        <f>SUM(T4:T10)</f>
        <v>0</v>
      </c>
      <c r="U11" s="3">
        <v>0</v>
      </c>
      <c r="V11" s="3">
        <v>0</v>
      </c>
      <c r="W11" s="3">
        <v>0</v>
      </c>
      <c r="X11" s="2">
        <v>0</v>
      </c>
      <c r="Y11" s="3">
        <f>SUM(Y4:Y10)</f>
        <v>2</v>
      </c>
      <c r="Z11" s="2">
        <v>0</v>
      </c>
      <c r="AA11" s="2">
        <v>0</v>
      </c>
      <c r="AB11" s="18">
        <f>ROUND(SUM(AB4:AB10)/7,0)</f>
        <v>23</v>
      </c>
    </row>
    <row r="12" spans="16:28" ht="30" customHeight="1">
      <c r="P12" s="20" t="s">
        <v>102</v>
      </c>
      <c r="Q12" s="21"/>
      <c r="R12" s="21"/>
      <c r="S12" s="21"/>
      <c r="T12" s="21"/>
      <c r="U12" s="21"/>
      <c r="V12" s="21"/>
      <c r="W12" s="21"/>
      <c r="X12" s="21"/>
      <c r="Y12" s="21"/>
    </row>
    <row r="13" spans="16:28" ht="30" customHeight="1">
      <c r="P13" s="21"/>
      <c r="Q13" s="21"/>
      <c r="R13" s="21"/>
      <c r="S13" s="21"/>
      <c r="T13" s="21"/>
      <c r="U13" s="21"/>
      <c r="V13" s="21"/>
      <c r="W13" s="21"/>
      <c r="X13" s="21"/>
      <c r="Y13" s="21"/>
    </row>
    <row r="14" spans="16:28" ht="30" customHeight="1">
      <c r="P14" s="21"/>
      <c r="Q14" s="21"/>
      <c r="R14" s="21"/>
      <c r="S14" s="21"/>
      <c r="T14" s="21"/>
      <c r="U14" s="21"/>
      <c r="V14" s="21"/>
      <c r="W14" s="21"/>
      <c r="X14" s="21"/>
      <c r="Y14" s="21"/>
    </row>
    <row r="15" spans="16:28" ht="30" customHeight="1">
      <c r="P15" s="21"/>
      <c r="Q15" s="21"/>
      <c r="R15" s="21"/>
      <c r="S15" s="21"/>
      <c r="T15" s="21"/>
      <c r="U15" s="21"/>
      <c r="V15" s="21"/>
      <c r="W15" s="21"/>
      <c r="X15" s="21"/>
      <c r="Y15" s="21"/>
    </row>
    <row r="16" spans="16:28" ht="30" customHeight="1">
      <c r="P16" s="21"/>
      <c r="Q16" s="21"/>
      <c r="R16" s="21"/>
      <c r="S16" s="21"/>
      <c r="T16" s="21"/>
      <c r="U16" s="21"/>
      <c r="V16" s="21"/>
      <c r="W16" s="21"/>
      <c r="X16" s="21"/>
      <c r="Y16" s="21"/>
    </row>
    <row r="17" spans="16:25" ht="30" customHeight="1">
      <c r="P17" s="21"/>
      <c r="Q17" s="21"/>
      <c r="R17" s="21"/>
      <c r="S17" s="21"/>
      <c r="T17" s="21"/>
      <c r="U17" s="21"/>
      <c r="V17" s="21"/>
      <c r="W17" s="21"/>
      <c r="X17" s="21"/>
      <c r="Y17" s="21"/>
    </row>
    <row r="18" spans="16:25" ht="30" customHeight="1">
      <c r="P18" s="21"/>
      <c r="Q18" s="21"/>
      <c r="R18" s="21"/>
      <c r="S18" s="21"/>
      <c r="T18" s="21"/>
      <c r="U18" s="21"/>
      <c r="V18" s="21"/>
      <c r="W18" s="21"/>
      <c r="X18" s="21"/>
      <c r="Y18" s="21"/>
    </row>
  </sheetData>
  <mergeCells count="2">
    <mergeCell ref="P1:P2"/>
    <mergeCell ref="P12:Y18"/>
  </mergeCells>
  <conditionalFormatting sqref="Q4:Z4 Q11 Q5:T5 Z11 Y10:AA10 Q6:U7 Y9:Z9 X9:X11 Q9:W10 Q8:AA8 V7:AA7">
    <cfRule type="colorScale" priority="4">
      <colorScale>
        <cfvo type="num" val="0"/>
        <cfvo type="percentile" val="50"/>
        <cfvo type="num" val="4"/>
        <color theme="7" tint="0.79998168889431442"/>
        <color theme="9" tint="0.39997558519241921"/>
        <color theme="9" tint="-0.249977111117893"/>
      </colorScale>
    </cfRule>
  </conditionalFormatting>
  <conditionalFormatting sqref="Q4:Z4 Q5:T5 Q11:Z11 Q10:AA10 Q6:U7 Q9:Z9 Q8:AA8 V7:AA7">
    <cfRule type="colorScale" priority="5">
      <colorScale>
        <cfvo type="num" val="0"/>
        <cfvo type="percentile" val="50"/>
        <cfvo type="num" val="100"/>
        <color theme="7" tint="0.79998168889431442"/>
        <color theme="9" tint="0.39997558519241921"/>
        <color theme="9" tint="-0.499984740745262"/>
      </colorScale>
    </cfRule>
  </conditionalFormatting>
  <conditionalFormatting sqref="Q11:Z11 V4 V9:V10">
    <cfRule type="colorScale" priority="3">
      <colorScale>
        <cfvo type="num" val="0"/>
        <cfvo type="percentile" val="50"/>
        <cfvo type="num" val="15"/>
        <color theme="7" tint="0.79998168889431442"/>
        <color theme="9" tint="0.59999389629810485"/>
        <color theme="9"/>
      </colorScale>
    </cfRule>
  </conditionalFormatting>
  <conditionalFormatting sqref="AA4:AA6 U5:Z5 AA11 V6:Z6 AA9">
    <cfRule type="colorScale" priority="7">
      <colorScale>
        <cfvo type="num" val="0"/>
        <cfvo type="percentile" val="50"/>
        <cfvo type="num" val="4"/>
        <color theme="7" tint="0.79998168889431442"/>
        <color theme="9" tint="0.39997558519241921"/>
        <color theme="9" tint="-0.249977111117893"/>
      </colorScale>
    </cfRule>
    <cfRule type="colorScale" priority="8">
      <colorScale>
        <cfvo type="num" val="0"/>
        <cfvo type="percentile" val="50"/>
        <cfvo type="num" val="100"/>
        <color theme="7" tint="0.79998168889431442"/>
        <color theme="9" tint="0.39997558519241921"/>
        <color theme="9" tint="-0.499984740745262"/>
      </colorScale>
    </cfRule>
  </conditionalFormatting>
  <conditionalFormatting sqref="AA11">
    <cfRule type="colorScale" priority="6">
      <colorScale>
        <cfvo type="num" val="0"/>
        <cfvo type="percentile" val="50"/>
        <cfvo type="num" val="15"/>
        <color theme="7" tint="0.79998168889431442"/>
        <color theme="9" tint="0.59999389629810485"/>
        <color theme="9"/>
      </colorScale>
    </cfRule>
  </conditionalFormatting>
  <conditionalFormatting sqref="AB4:AB11">
    <cfRule type="colorScale" priority="1">
      <colorScale>
        <cfvo type="num" val="0"/>
        <cfvo type="percentile" val="50"/>
        <cfvo type="num" val="100"/>
        <color theme="7" tint="0.79998168889431442"/>
        <color theme="9" tint="0.79998168889431442"/>
        <color theme="9"/>
      </colorScale>
    </cfRule>
    <cfRule type="colorScale" priority="2">
      <colorScale>
        <cfvo type="num" val="0"/>
        <cfvo type="num" val="100"/>
        <color theme="7" tint="0.79998168889431442"/>
        <color theme="9" tint="-0.249977111117893"/>
      </colorScale>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28A7-EBAA-43C2-AA31-EFEF7A918141}">
  <dimension ref="A1"/>
  <sheetViews>
    <sheetView workbookViewId="0">
      <selection activeCell="O14" sqref="O14"/>
    </sheetView>
  </sheetViews>
  <sheetFormatPr defaultRowHeight="15"/>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6449-6026-4236-AFFE-C4F018B1FB66}">
  <dimension ref="A1:E5"/>
  <sheetViews>
    <sheetView zoomScale="103" zoomScaleNormal="205" workbookViewId="0">
      <selection activeCell="A8" sqref="A8"/>
    </sheetView>
  </sheetViews>
  <sheetFormatPr defaultRowHeight="15"/>
  <cols>
    <col min="1" max="4" width="25.7109375" customWidth="1"/>
    <col min="5" max="5" width="31" customWidth="1"/>
  </cols>
  <sheetData>
    <row r="1" spans="1:5" ht="24.95" customHeight="1" thickBot="1">
      <c r="A1" s="4" t="s">
        <v>105</v>
      </c>
      <c r="B1" s="1" t="s">
        <v>106</v>
      </c>
      <c r="C1" s="1" t="s">
        <v>107</v>
      </c>
      <c r="D1" s="1" t="s">
        <v>108</v>
      </c>
      <c r="E1" s="1" t="s">
        <v>109</v>
      </c>
    </row>
    <row r="2" spans="1:5" ht="24.95" customHeight="1">
      <c r="A2" s="5" t="s">
        <v>110</v>
      </c>
      <c r="B2" s="2">
        <f>SUM('Week 1:Total Progress'!B11)</f>
        <v>60.849999999999994</v>
      </c>
      <c r="C2" s="2">
        <f>SUM('Week 1:Total Progress'!C11)</f>
        <v>13.05</v>
      </c>
      <c r="D2" s="2">
        <f>SUM('Week 1:Total Progress'!D11)</f>
        <v>13.75</v>
      </c>
      <c r="E2" s="3">
        <f>SUM('Week 1:Total Progress'!E11)</f>
        <v>23.7</v>
      </c>
    </row>
    <row r="3" spans="1:5" ht="24.95" customHeight="1">
      <c r="A3" s="5" t="s">
        <v>111</v>
      </c>
      <c r="B3" s="6">
        <v>60</v>
      </c>
      <c r="C3" s="6">
        <v>100</v>
      </c>
      <c r="D3" s="6">
        <v>30</v>
      </c>
      <c r="E3" s="6">
        <v>200</v>
      </c>
    </row>
    <row r="4" spans="1:5" ht="24.95" customHeight="1">
      <c r="B4" t="s">
        <v>112</v>
      </c>
    </row>
    <row r="5" spans="1:5" ht="24.95" customHeight="1"/>
  </sheetData>
  <conditionalFormatting sqref="A2:E2">
    <cfRule type="colorScale" priority="5">
      <colorScale>
        <cfvo type="num" val="0"/>
        <cfvo type="percentile" val="50"/>
        <cfvo type="num" val="100"/>
        <color theme="7" tint="0.79998168889431442"/>
        <color theme="9" tint="0.39997558519241921"/>
        <color theme="9" tint="-0.249977111117893"/>
      </colorScale>
    </cfRule>
    <cfRule type="colorScale" priority="7">
      <colorScale>
        <cfvo type="num" val="0"/>
        <cfvo type="percentile" val="50"/>
        <cfvo type="num" val="100"/>
        <color theme="7" tint="0.79998168889431442"/>
        <color theme="9" tint="0.39997558519241921"/>
        <color theme="9" tint="-0.499984740745262"/>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2015-06-05T18:17:20Z</dcterms:created>
  <dcterms:modified xsi:type="dcterms:W3CDTF">2026-05-03T18:02:59Z</dcterms:modified>
  <cp:category/>
  <cp:contentStatus/>
</cp:coreProperties>
</file>